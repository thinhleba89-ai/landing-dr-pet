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DR PET\Gpet - Doctor Pet\"/>
    </mc:Choice>
  </mc:AlternateContent>
  <bookViews>
    <workbookView xWindow="0" yWindow="0" windowWidth="23040" windowHeight="9072" tabRatio="822" activeTab="1"/>
  </bookViews>
  <sheets>
    <sheet name="GÓI FIRST PET 1" sheetId="2" r:id="rId1"/>
    <sheet name="GÓI PET365 2" sheetId="3" r:id="rId2"/>
    <sheet name="GÓI BIG BOSS 3" sheetId="4" r:id="rId3"/>
    <sheet name="GÓI BEST FRINED 4" sheetId="5" r:id="rId4"/>
    <sheet name="GÓI HÀNG NĂM 5" sheetId="6" r:id="rId5"/>
    <sheet name="GÓI BONUS" sheetId="7" r:id="rId6"/>
    <sheet name="Bảng giá thuốc" sheetId="8" r:id="rId7"/>
    <sheet name="Bảng giá chi tiết" sheetId="9" r:id="rId8"/>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60" i="8" l="1"/>
  <c r="H59" i="8"/>
  <c r="H58" i="8"/>
  <c r="H57" i="8"/>
  <c r="H56" i="8"/>
  <c r="H55" i="8"/>
  <c r="H54" i="8"/>
  <c r="H53" i="8"/>
  <c r="H52" i="8"/>
  <c r="H51" i="8"/>
  <c r="H50" i="8"/>
  <c r="H49" i="8"/>
  <c r="J47" i="8"/>
  <c r="J46" i="8"/>
  <c r="J45" i="8"/>
  <c r="J44" i="8"/>
  <c r="J43" i="8"/>
  <c r="J42" i="8"/>
  <c r="H41" i="8"/>
  <c r="J41" i="8" s="1"/>
  <c r="J40" i="8"/>
  <c r="J39" i="8"/>
  <c r="J38" i="8"/>
  <c r="J37" i="8"/>
  <c r="J36" i="8"/>
  <c r="H34" i="8"/>
  <c r="H33" i="8"/>
  <c r="H32" i="8"/>
  <c r="J32" i="8" s="1"/>
  <c r="H31" i="8"/>
  <c r="J31" i="8" s="1"/>
  <c r="H30" i="8"/>
  <c r="J30" i="8" s="1"/>
  <c r="H29" i="8"/>
  <c r="J29" i="8" s="1"/>
  <c r="H28" i="8"/>
  <c r="J28" i="8" s="1"/>
  <c r="H27" i="8"/>
  <c r="J27" i="8" s="1"/>
  <c r="H26" i="8"/>
  <c r="J26" i="8" s="1"/>
  <c r="H25" i="8"/>
  <c r="J25" i="8" s="1"/>
  <c r="H23" i="8"/>
  <c r="J23" i="8" s="1"/>
  <c r="H22" i="8"/>
  <c r="J22" i="8" s="1"/>
  <c r="H21" i="8"/>
  <c r="J21" i="8" s="1"/>
  <c r="H20" i="8"/>
  <c r="J20" i="8" s="1"/>
  <c r="H19" i="8"/>
  <c r="J19" i="8" s="1"/>
  <c r="H18" i="8"/>
  <c r="J18" i="8" s="1"/>
  <c r="H17" i="8"/>
  <c r="J17" i="8" s="1"/>
  <c r="H16" i="8"/>
  <c r="J16" i="8" s="1"/>
  <c r="H15" i="8"/>
  <c r="J15" i="8" s="1"/>
  <c r="H14" i="8"/>
  <c r="J14" i="8" s="1"/>
  <c r="H13" i="8"/>
  <c r="J13" i="8" s="1"/>
  <c r="H12" i="8"/>
  <c r="J12" i="8" s="1"/>
  <c r="H11" i="8"/>
  <c r="J11" i="8" s="1"/>
  <c r="H10" i="8"/>
  <c r="J10" i="8" s="1"/>
  <c r="H9" i="8"/>
  <c r="J9" i="8" s="1"/>
  <c r="H8" i="8"/>
  <c r="J8" i="8" s="1"/>
  <c r="H7" i="8"/>
  <c r="J7" i="8" s="1"/>
  <c r="H6" i="8"/>
  <c r="J6" i="8" s="1"/>
  <c r="H5" i="8"/>
  <c r="J5" i="8" s="1"/>
  <c r="H4" i="8"/>
  <c r="J4" i="8" s="1"/>
  <c r="F16" i="7"/>
  <c r="F10" i="7"/>
  <c r="F16" i="6"/>
  <c r="G25" i="4"/>
  <c r="F26" i="3"/>
  <c r="E4" i="3"/>
  <c r="D4" i="3"/>
  <c r="C4" i="3"/>
  <c r="B4" i="3"/>
</calcChain>
</file>

<file path=xl/sharedStrings.xml><?xml version="1.0" encoding="utf-8"?>
<sst xmlns="http://schemas.openxmlformats.org/spreadsheetml/2006/main" count="580" uniqueCount="341">
  <si>
    <r>
      <rPr>
        <b/>
        <sz val="12"/>
        <color rgb="FF000000"/>
        <rFont val="Calibri"/>
        <family val="2"/>
      </rPr>
      <t xml:space="preserve">Tiêm ngừa vaccine 7 bệnh chó: 
</t>
    </r>
    <r>
      <rPr>
        <sz val="12"/>
        <color rgb="FF000000"/>
        <rFont val="Calibri"/>
        <family val="2"/>
      </rPr>
      <t>✔️ Bệnh Carréb
✔️ Bệnh do Parvovirus
✔️ Bệnh viêm gan truyền nhiễm
✔️ Bệnh ho cũi
✔️ Bệnh phó cúm
✔️ Bệnh do Leptospria
✔️ Bệnh do Coronavirus</t>
    </r>
  </si>
  <si>
    <r>
      <rPr>
        <b/>
        <sz val="13.5"/>
        <color rgb="FFFFFFFF"/>
        <rFont val="Calibri"/>
        <family val="2"/>
      </rPr>
      <t xml:space="preserve">GÓI KHÁM 1 ''KHỞI ĐẦU KHỎE MẠNH"
</t>
    </r>
    <r>
      <rPr>
        <b/>
        <sz val="13.5"/>
        <color rgb="FFF54A45"/>
        <rFont val="Calibri"/>
        <family val="2"/>
      </rPr>
      <t>Giá: 1,420,000 --&gt; giảm còn 1,200,000</t>
    </r>
  </si>
  <si>
    <r>
      <rPr>
        <b/>
        <sz val="12"/>
        <color rgb="FF000000"/>
        <rFont val="Calibri"/>
        <family val="2"/>
      </rPr>
      <t xml:space="preserve">Tiêm ngừa vaccine 5 bệnh chó: 
</t>
    </r>
    <r>
      <rPr>
        <sz val="12"/>
        <color rgb="FF000000"/>
        <rFont val="Calibri"/>
        <family val="2"/>
      </rPr>
      <t>✔️ Bệnh Carréb
✔️ Bệnh do Parvovirus
✔️ Bệnh viêm gan truyền nhiễm
✔️ Bệnh ho cũi
✔️ Bệnh phó cúm</t>
    </r>
  </si>
  <si>
    <r>
      <rPr>
        <b/>
        <sz val="13.5"/>
        <color rgb="FFFFFFFF"/>
        <rFont val="Calibri"/>
        <family val="2"/>
      </rPr>
      <t xml:space="preserve">GÓI KHÁM 2 “MY FIRST VET VISIT PROMO 365”
</t>
    </r>
    <r>
      <rPr>
        <b/>
        <sz val="13.5"/>
        <color rgb="FFF54A45"/>
        <rFont val="Calibri"/>
        <family val="2"/>
      </rPr>
      <t>(chưa có combo thiến/triệt sản + hậu phẫu)</t>
    </r>
  </si>
  <si>
    <r>
      <rPr>
        <b/>
        <sz val="13.5"/>
        <color rgb="FFFFFFFF"/>
        <rFont val="Calibri"/>
        <family val="2"/>
      </rPr>
      <t xml:space="preserve">GÓI KHÁM 3 ''NEW PET SOS"
</t>
    </r>
    <r>
      <rPr>
        <b/>
        <sz val="13.5"/>
        <color rgb="FFF54A45"/>
        <rFont val="Calibri"/>
        <family val="2"/>
      </rPr>
      <t>Giá: 4,570,000 --&gt; giảm còn 3,900,000</t>
    </r>
  </si>
  <si>
    <r>
      <rPr>
        <sz val="12"/>
        <color rgb="FF000000"/>
        <rFont val="Calibri"/>
        <family val="2"/>
      </rPr>
      <t xml:space="preserve">Thú cưng vừa đón về trong 5-7 ngày đầu tiên có </t>
    </r>
    <r>
      <rPr>
        <b/>
        <sz val="12"/>
        <color rgb="FF000000"/>
        <rFont val="Calibri"/>
        <family val="2"/>
      </rPr>
      <t>lâm sàng bất thường</t>
    </r>
    <r>
      <rPr>
        <sz val="12"/>
        <color rgb="FF000000"/>
        <rFont val="Calibri"/>
        <family val="2"/>
      </rPr>
      <t>. Cần kiểm tra toàn diện tìm nguyên nhân và đánh giá tình trạng sức khỏe. Gói chưa bao gồm chi phí điều trị.
Trong trường hợp nghi ngờ bệnh nặng/ghép, cần kết hợp thêm xét nghiệm khác để chẩn đoán bệnh
thì giảm 5% chi phí xét nghiệm bổ sung.</t>
    </r>
  </si>
  <si>
    <r>
      <rPr>
        <b/>
        <sz val="13.5"/>
        <color rgb="FFFFFFFF"/>
        <rFont val="Calibri"/>
        <family val="2"/>
      </rPr>
      <t xml:space="preserve">GÓI KHÁM 5 "Pet trung niên"
</t>
    </r>
    <r>
      <rPr>
        <b/>
        <sz val="13.5"/>
        <color rgb="FFF54A45"/>
        <rFont val="Calibri"/>
        <family val="2"/>
      </rPr>
      <t>Giá: 5,510,000 --&gt; giảm còn 4,700,000</t>
    </r>
  </si>
  <si>
    <r>
      <rPr>
        <b/>
        <sz val="13.5"/>
        <color rgb="FFFFFFFF"/>
        <rFont val="Calibri"/>
        <family val="2"/>
      </rPr>
      <t xml:space="preserve">GÓI KHÁM 4 "ĐỊNH KỲ 1 NĂM"
</t>
    </r>
    <r>
      <rPr>
        <b/>
        <sz val="13.5"/>
        <color rgb="FFF54A45"/>
        <rFont val="Calibri"/>
        <family val="2"/>
      </rPr>
      <t>Giá: 3,440,000 --&gt; giảm còn 2,900,000</t>
    </r>
  </si>
  <si>
    <r>
      <rPr>
        <b/>
        <sz val="13.5"/>
        <color rgb="FFF54A45"/>
        <rFont val="Calibri"/>
        <family val="2"/>
      </rPr>
      <t>GIẢM CÒN</t>
    </r>
    <r>
      <rPr>
        <b/>
        <sz val="18"/>
        <color rgb="FFF54A45"/>
        <rFont val="Calibri"/>
        <family val="2"/>
      </rPr>
      <t xml:space="preserve"> 2,900,000</t>
    </r>
  </si>
  <si>
    <t>Giải thích gói 1</t>
  </si>
  <si>
    <t>Những lưu ý trong gói</t>
  </si>
  <si>
    <t>STT</t>
  </si>
  <si>
    <t>Thú cưng vừa đón về, cần được tư vấn + hướng dẫn các quy trình chăm sóc và tiêm ngừa cơ bản
(Thời gian 4 tháng - Gói dành cho cún)</t>
  </si>
  <si>
    <t xml:space="preserve">Giá </t>
  </si>
  <si>
    <t>Giá</t>
  </si>
  <si>
    <t>Gói khám khởi đầu dành cho chó con vừa về nhà cần được tư vấn theo
dõi, sổ giun, tiêm ngừa và kiểm tra tổng quát nhưng không có nhu cầu
xét nghiệm cận lâm sàng (xét nghiệm máu)
Gói 1 bao gồm 3 mũi vaccine phòng bệnh tiêu chuẩn theo hướng dẫn từ
các hãng vaccine Zoetis (Vanguard) hay Boehringer Ingelheim (Recombitek)
Mỗi liều vaccine được tiêm cách nhau 21 - 28 ngày và được chỉ định bởi 
bác sĩ thú y dựa trên tình trạng sức khỏe tại thời điểm tiêm ngừa
Sau khi tiêm đủ 3 mũi vaccine phòng bệnh, chủ nuôi - pet tiếp tục được
hẹn lịch cho mũi vaccine Dại tiếp theo (khoảng 7 ngày sau mũi 3) và được báo cáo thông tin tiêm ngừa Dại về chi cục Thú y bởi DR. Pet
Trước khi tiêm mũi vaccine đầu, BSTY lấy thông tin cơ bản (cân nặng,
nhiệt độ, trao đổi về tình trạng sức khỏe hiện tại,..) và kiểm tra lâm sàng tổng quát (kiểm tra tai, da lông, phản xạ, soi kiểm tra mẫu phân, rận,...)
Gói khám kéo dài khoảng 4 tháng nhằm chắc chắn Pet được tiêm ngừa đủ
và "cứng sổ" năm đầu, tăng hiệu giá miễn dịch, giảm khả năng mắc các bệnh truyền nhiễm thường gặp tại Việt Nam</t>
  </si>
  <si>
    <t xml:space="preserve">   Mỗi Pet tham gia Gói 1 sẽ được gửi kèm "Thẻ hành trình sức khỏe". BSTY và ekip phòng khám theo dõi, hỏi tình hình liên tục trong 3 ngày sau mỗi lần sổ giun và mỗi mũi tiêm ngừa. 
Luôn chủ động thông báo và nhắc khách hàng trước khi đến lịch hẹn 1 ngày để đảm bảo khách hàng không quên hẹn
Trong trường hợp khách hàng - pet đến trễ hơn thời
gian cho phép của lịch tiêm và bắt buộc phải tiêm bồi thêm 1 mũi vaccine: Khách hàng thanh toán thêm chiphí mũi vaccine bổ sung
DR. Pet luôn nhắc nhở khách hàng - pet phải cách ly và giữ kỹ sức khỏe trong thời gian tham gia Gói. Tuy nhiên nếu vì bất kỳ nguyên nhân khách quan nào làmpet bị lây bệnh truyền nhiễm và không thể tiếp tục Gói, DR. Pet không hoàn trả chi phí còn lại của Gói
</t>
  </si>
  <si>
    <t>ĐÁNH GIÁ SỨC KHOẺ BAN ĐẦU VÀ KHÁM VỚI BÁC SĨ NỘI KHOA</t>
  </si>
  <si>
    <t>Bác Sĩ Thăm Khám Và Hỏi Bệnh Sử</t>
  </si>
  <si>
    <t>✓</t>
  </si>
  <si>
    <t>Miễn phí</t>
  </si>
  <si>
    <t>Tư vấn + hướng dẫn chăm sóc và dinh dưỡng</t>
  </si>
  <si>
    <t>SỔ GIUN VÀ TIÊM NGỪA 4 LIỀU VACCINE PHÒNG BỆNH</t>
  </si>
  <si>
    <t>Tẩy giun sán Sanpet (&gt; 1 tháng tuổi)</t>
  </si>
  <si>
    <t>Lặp lại mỗi tháng 1 lần</t>
  </si>
  <si>
    <t>1 - 2 LẦN</t>
  </si>
  <si>
    <t>* Tiêm lần đầu tiên (mũi 1)</t>
  </si>
  <si>
    <t>1 LIỀU</t>
  </si>
  <si>
    <t xml:space="preserve">* Tiêm mũi 2 và mũi 3 (mỗi mũi vaccine cách nhau 21 ngày) 
* Lặp lại hàng năm </t>
  </si>
  <si>
    <t>2 LIỀU</t>
  </si>
  <si>
    <t>Tiêm ngừa vaccine Dại Biorabies (Argentina) (&gt; 3 tháng tuổi)</t>
  </si>
  <si>
    <t>Lặp lại mỗi năm 1 lần</t>
  </si>
  <si>
    <t>THỰC HIỆN KHÁM LÂM SÀNG CƠ BẢN TRONG GÓI KHÁM</t>
  </si>
  <si>
    <t>Kiểm tra &amp; vệ sinh tai</t>
  </si>
  <si>
    <t>Khám kiểm tra răng miệng (nha chu)</t>
  </si>
  <si>
    <t>Khám viêm da (Wood's Lamp)</t>
  </si>
  <si>
    <t>Soi kính hiển vi cơ bản (soi rận tai, kiểm tra phân)</t>
  </si>
  <si>
    <t>TƯ VẤN KẾT QỦA VỚI BÁC SĨ NỘI KHOA</t>
  </si>
  <si>
    <t xml:space="preserve">Bác sĩ tổng kết vấn đề và đưa ra bảng kế hoạch chăm sóc thú cưng cho thời gian sắp tới </t>
  </si>
  <si>
    <t xml:space="preserve">Miễn phí </t>
  </si>
  <si>
    <t xml:space="preserve">Thú cưng vừa đón về, cần được tư vấn + hướng dẫn toàn diện 1 năm đầu.
Tổng giá trị gói đã bao gồm xét nghiệm máu cơ bản và combo thiến/triệt sản + hậu phẫu. </t>
  </si>
  <si>
    <t>Pet &lt;5kg
(Pet đực)</t>
  </si>
  <si>
    <t>Pet 5 - 10kg
(Pet đực)</t>
  </si>
  <si>
    <t>Pet &lt;5kg
(Pet cái)</t>
  </si>
  <si>
    <t>Pet 5 - 10kg
(Pet cái)</t>
  </si>
  <si>
    <t>Tẩy giun sán (Sanpet)</t>
  </si>
  <si>
    <t>Tiêm ngừa vaccine 5 bệnh chó: 
✅Bệnh Carréb
✅Bệnh do Parvovirus
✅Bệnh viêm gan truyền nhiễm
✅Bệnh ho cũi
✅Bệnh phó cúm</t>
  </si>
  <si>
    <t>Tiêm ngừa vaccine 7 bệnh chó: 
✅Bệnh Carréb
✅Bệnh do Parvovirus
✅Bệnh viêm gan truyền nhiễm
✅Bệnh ho cũi
✅Bệnh phó cúm
✅Bệnh do Leptospria
✅Bệnh do Coronavirus</t>
  </si>
  <si>
    <t>Tiêm ngừa vaccine Dại</t>
  </si>
  <si>
    <t>THỰC HIỆN KHÁM LÂM SÀNG VÀ CẬN LÂM SÀNG TRONG GÓI KHÁM</t>
  </si>
  <si>
    <t>KHÁM LÂM SÀNG TRƯỚC TIÊM NGỪA</t>
  </si>
  <si>
    <t xml:space="preserve">Xét nghiệm công thức máu 4 dòng bạch cầu </t>
  </si>
  <si>
    <t>XÉT NGHIỆM CẬN LÂM SÀNG TRƯỚC PHẪU THUẬT</t>
  </si>
  <si>
    <t>Xét nghiệm sinh hóa chuyên sâu 23 thông số đánh giá chức năng: 
✅Chức năng gan (4): AST, ALT, GGT, AST/ALT
✅Chức năng mật (3): TBA, ALP, TBIL
✅Chức năng thận (3): CRE, BUN, BUN/CREA
✅Chức năng tụy (1): AMY
✅Đánh giá tổn thương (2): CK, LDH
✅Đánh giá chuyển hóa (4): TP, ALB, GLOB, A/G
✅Đánh giá mỡ máu (2): TG, TC  
✅Đường huyết (1): GLU, 
✅Hàm lượng khoáng vi lượng thiết yếu (3): Ca, PHOS, PHOS*Ca</t>
  </si>
  <si>
    <t>CHI PHÍ THIẾN - TRIỆT SẢN VÀ HẬU PHẪU ƯU ĐÃI TRONG GÓI</t>
  </si>
  <si>
    <t>Bao gồm phí thiến - triệt sản, theo dõi + truyền dịch đến khi tỉnh mê hẳn và hậu phẫu 3-5 ngày (kèm thuốc về)</t>
  </si>
  <si>
    <t>BÁC SĨ THÚ Y TƯ VẤN QUY TRÌNH</t>
  </si>
  <si>
    <t>GIẢM 15%</t>
  </si>
  <si>
    <t>1tr360 LÀM TRÒN 1tr350</t>
  </si>
  <si>
    <t>CHÓ</t>
  </si>
  <si>
    <t>MÈO</t>
  </si>
  <si>
    <t>Soi kính kiểm tra hình thái tế bào máu</t>
  </si>
  <si>
    <t>Siêu âm bụng tổng quát (kiểm tra gan, thận, mật, tiêu hóa, bàng quang)</t>
  </si>
  <si>
    <t>Chụp X-quang ngực thẳng và nghiêng (2 tấm)</t>
  </si>
  <si>
    <t>SINH LÝ MÁU AI MAXPRO</t>
  </si>
  <si>
    <t>Khí máu - Điện giải - Chuyển hóa (spO2)</t>
  </si>
  <si>
    <t xml:space="preserve">Xét nghiệm miễn dịch kháng nguyên CPV Ag </t>
  </si>
  <si>
    <t>Xét nghiệm miễn dịch kháng nguyên FPV Ag</t>
  </si>
  <si>
    <t>Xét nghiệm miễn dịch kháng nguyên CDV Ag</t>
  </si>
  <si>
    <t>Xét nghiệm miễn dịch kháng nguyên FHV Ag</t>
  </si>
  <si>
    <t>Xét nghiệm miễn dịch kháng nguyên CCOV Ag</t>
  </si>
  <si>
    <t>Xét nghiệm miễn dịch kháng nguyên FCV Ag</t>
  </si>
  <si>
    <t>Xét nghiệm miễn dịch kiểm tra chỉ số viêm CRP chó</t>
  </si>
  <si>
    <t>Xét nghiệm miễn dịch kiểm tra chỉ số viêm SAA mèo</t>
  </si>
  <si>
    <t xml:space="preserve">TƯ VẤN KẾT QỦA </t>
  </si>
  <si>
    <t>Giảm 15%</t>
  </si>
  <si>
    <t>Gói khám sức khỏe cho chó độ tuổi trung niên - bắt đầu lão hóa
(chó trên 6 tuổi)</t>
  </si>
  <si>
    <t>ĐÁNH GIÁ SỨC KHOẺ BAN ĐẦU VÀ KHÁM TƯ VẤN</t>
  </si>
  <si>
    <t>THỰC HIỆN KHÁM LÂM SÀNG VÀ CẬN LÂM SÀNG TRONG 1 LẦN KHÁM</t>
  </si>
  <si>
    <t>Sinh lý máu chuyên sâu 7 dòng sử dụng AI PROMAX</t>
  </si>
  <si>
    <t>Xét nghiệm kiểm tra đông máu 4 thông số: APTT, PT, TT, FIB</t>
  </si>
  <si>
    <t>Xét nghiệm miễn dịch tầm soát viêm tụy cPL chó</t>
  </si>
  <si>
    <t>Xét nghiệm miễn dịch kiểm tra suy tim sung huyết proBNP</t>
  </si>
  <si>
    <t>Xét nghiệm miễn dịch SDMA tầm soát suy thận sớm</t>
  </si>
  <si>
    <t>Xét nghiệm tầm soát huyết khối D-Dimer</t>
  </si>
  <si>
    <t>Kiểm tra nước tiểu 14 thông số: SG, LEU, NIT, pH, BLD, PRO, GLU, KET, UBG, BIL, ALB, CRE, ASC, CA</t>
  </si>
  <si>
    <t xml:space="preserve">Bác sĩ tổng kết vấn đề gặp phải hiện nay và đưa ra bảng kế hoạch chăm sóc thú cưng cho thời gian sắp tới </t>
  </si>
  <si>
    <t>Khám sức khỏe định kỳ cho thú cưng - 1 năm 2 lần</t>
  </si>
  <si>
    <t>CHI PHÍ CHO 1 LẦN KHÁM TRONG GÓI</t>
  </si>
  <si>
    <t>TỔNG CHI PHÍ CHO GÓI KHÁM "ĐỊNH KỲ 1 NĂM"</t>
  </si>
  <si>
    <t>GÓI DỊCH VỤ BỔ SUNG</t>
  </si>
  <si>
    <t>Sổ giun sán và tiêm ngừa vaccine định kỳ</t>
  </si>
  <si>
    <t>Bác Sĩ Thăm Khám</t>
  </si>
  <si>
    <t>SỔ GIUN VÀ TIÊM NGỪA CƠ BẢN ĐỊNH KỲ HÀNG NĂM (1)</t>
  </si>
  <si>
    <t>Dành cho Pet tiêm ngừa đúng quy trình</t>
  </si>
  <si>
    <t>Tẩy giun sán cơ bản - 3 tháng 1 lần</t>
  </si>
  <si>
    <t>4 LẦN</t>
  </si>
  <si>
    <t>TỔNG CHI PHÍ CHO DỊCH VỤ BỔ SUNG 1</t>
  </si>
  <si>
    <t>SỔ GIUN VÀ TIÊM NGỪA CƠ BẢN ĐỊNH KỲ HÀNG NĂM (2)</t>
  </si>
  <si>
    <t>Dành cho Pet tiêm ngừa sai quy trình hoặc chưa tiêm ngừa - CẦN TIÊM LẠI</t>
  </si>
  <si>
    <t>CHI PHÍ ƯU ĐÃI CHO KHÁCH HÀNG THÂN THIẾT - DR. PET MEMBER</t>
  </si>
  <si>
    <t>DANH MỤC THUỐC VÀ HÀNG HÓA</t>
  </si>
  <si>
    <t>TÊN HOẠT CHẤT</t>
  </si>
  <si>
    <t>TÊN THƯƠNG MẠI</t>
  </si>
  <si>
    <t>QUY CÁCH</t>
  </si>
  <si>
    <t>Đơn vị bán tách gói/viên</t>
  </si>
  <si>
    <t>SỐ LƯỢNG</t>
  </si>
  <si>
    <t>GIÁ SỈ</t>
  </si>
  <si>
    <t>ĐƠN GIÁ BÁN LẺ, TÁCH GÓI</t>
  </si>
  <si>
    <t>GIÁ ĐỀ XUẤT CỦA BÁC SĨ</t>
  </si>
  <si>
    <t xml:space="preserve">Tỉ suất lợi nhuận </t>
  </si>
  <si>
    <t>GIÁ BÁN LẺ CHO KHÁCH HÀNG</t>
  </si>
  <si>
    <t>Ghi chú</t>
  </si>
  <si>
    <t>Lọ 100 viên</t>
  </si>
  <si>
    <t>Hộp 100 viên</t>
  </si>
  <si>
    <t>Hộp 20 viên</t>
  </si>
  <si>
    <t>Vet68</t>
  </si>
  <si>
    <t>VACCINE</t>
  </si>
  <si>
    <t>Vanguard Plus 5</t>
  </si>
  <si>
    <t>Hộp 25 liều</t>
  </si>
  <si>
    <t>Vanguard Plus 5 CV - L</t>
  </si>
  <si>
    <t xml:space="preserve">Biorabies </t>
  </si>
  <si>
    <t>Hộp 50 liều</t>
  </si>
  <si>
    <t>Oclacitinib</t>
  </si>
  <si>
    <t>Apoquel 5.4mg</t>
  </si>
  <si>
    <t>Esafoxolaner, Eprinomectin
Praziquantel</t>
  </si>
  <si>
    <t>NEXGARD COMBO (&lt;2.5kg) feline</t>
  </si>
  <si>
    <t>Hộp 3 ống</t>
  </si>
  <si>
    <t>NEXGARD COMBO (&gt;2.5kg) feline</t>
  </si>
  <si>
    <t>afoxolaner
milbemycin oxime</t>
  </si>
  <si>
    <t>NEXGARD SPECTRA 0.5G (XS 2-3.5kg)</t>
  </si>
  <si>
    <t>Hộp 3 viên</t>
  </si>
  <si>
    <t>NEXGARD SPECTRA 1G (S &gt;3.5-7.5kg)</t>
  </si>
  <si>
    <t>NEXGARD SPECTRA 2G (M &gt;7.5-15kg)</t>
  </si>
  <si>
    <t>NEXGARD SPECTRA 4G (L &gt;15-30kg)</t>
  </si>
  <si>
    <t>sorbitol + thảo dược</t>
  </si>
  <si>
    <t>HEPARENOL 100ml</t>
  </si>
  <si>
    <t>Chai 100ml</t>
  </si>
  <si>
    <t>MEGADERM</t>
  </si>
  <si>
    <t>Hộp 28 gói</t>
  </si>
  <si>
    <t>bromhexine</t>
  </si>
  <si>
    <t>Bromhexine 30mL (uống)</t>
  </si>
  <si>
    <t>Chai 30ml</t>
  </si>
  <si>
    <t>meloxicam</t>
  </si>
  <si>
    <t>Inflacam</t>
  </si>
  <si>
    <t>Hộp vĩ 10 viên</t>
  </si>
  <si>
    <t>gentamycin</t>
  </si>
  <si>
    <t>Gentamycin 10ml (nhỏ mắt)</t>
  </si>
  <si>
    <t>Lọ 10ml</t>
  </si>
  <si>
    <t>doxycycline</t>
  </si>
  <si>
    <t>Respicure (dạng gel)</t>
  </si>
  <si>
    <t>Tuýp 10ml, Hộp 2 tuýp</t>
  </si>
  <si>
    <t>Fipronil, (S)-methoprene,
Eprinomectin, Praziquantel</t>
  </si>
  <si>
    <t>Spreadline 0.3mL (Tube)</t>
  </si>
  <si>
    <t>Hộp 3 tuýp</t>
  </si>
  <si>
    <t>Spreadline 0.9mL (Tube)</t>
  </si>
  <si>
    <t>bacillus subtilis</t>
  </si>
  <si>
    <t>Men tiêu hóa Clostop 20g</t>
  </si>
  <si>
    <t>Gói 20g</t>
  </si>
  <si>
    <t>Doxy THÁI viên vàng</t>
  </si>
  <si>
    <t>Lọ 500 viên</t>
  </si>
  <si>
    <t>Sale Hiểu</t>
  </si>
  <si>
    <t>Amoxicillin</t>
  </si>
  <si>
    <t>Amolav 250</t>
  </si>
  <si>
    <t>Quy cách bán từng viên</t>
  </si>
  <si>
    <t>Cefpodoxim/ Cephalexin</t>
  </si>
  <si>
    <t>Cephalin 300</t>
  </si>
  <si>
    <t>Marbofloxacin</t>
  </si>
  <si>
    <t>Marbocin Tab</t>
  </si>
  <si>
    <t>Hộp 50 viên</t>
  </si>
  <si>
    <t>Alphachymotrypsin</t>
  </si>
  <si>
    <t>Chymoflam</t>
  </si>
  <si>
    <t>Prednisolone</t>
  </si>
  <si>
    <t>Prednilo</t>
  </si>
  <si>
    <t>Enrofloxacin</t>
  </si>
  <si>
    <t>Ataxin 50</t>
  </si>
  <si>
    <t>Uripet Intense (Canine)</t>
  </si>
  <si>
    <t>Quy cách chiết lẽ 1 lọ đỏ 36ml</t>
  </si>
  <si>
    <t>MeoUripet Intense (Feline)</t>
  </si>
  <si>
    <t>LIV.52 Syrup 200ml</t>
  </si>
  <si>
    <t>Chai 200ml</t>
  </si>
  <si>
    <t>70,000/lọ chiết 35ml</t>
  </si>
  <si>
    <t>Thrombofit</t>
  </si>
  <si>
    <t>75,000/lọ chiết 35ml</t>
  </si>
  <si>
    <t>Gấu Petshop</t>
  </si>
  <si>
    <t>Pate mèo con</t>
  </si>
  <si>
    <t>Pate Royal Canin kitten Jelly/ Gravy 85g</t>
  </si>
  <si>
    <t>Hộp 12 gói</t>
  </si>
  <si>
    <t>Mèo - thận</t>
  </si>
  <si>
    <t>Pate Royal Canin Renal 85g</t>
  </si>
  <si>
    <t>Gặm sạch răng
Ăn vặt</t>
  </si>
  <si>
    <t>Xương gặm sạch răng cho chó dentastix 75g (5-10kg)</t>
  </si>
  <si>
    <t>Gói</t>
  </si>
  <si>
    <t>Xương gặm sạch răng cho chó dentastix chó con 56g (4-12 tháng)</t>
  </si>
  <si>
    <t>Xương gặm sạch răng cho chó dentastix 60g (1-5kg)</t>
  </si>
  <si>
    <t>Sổ giun Sanpet (vỉ 10 viên)</t>
  </si>
  <si>
    <t>10 viên / vỉ</t>
  </si>
  <si>
    <t>Thuốc điều trị viêm tai oridemyl</t>
  </si>
  <si>
    <t>tuýp</t>
  </si>
  <si>
    <t>Vòng chống liếm</t>
  </si>
  <si>
    <t>Vòng số 2 (37 - 42)</t>
  </si>
  <si>
    <t>Cái</t>
  </si>
  <si>
    <t>Vòng số 3 (30 - 36)</t>
  </si>
  <si>
    <t>Vòng số 4 (26 - 31)</t>
  </si>
  <si>
    <t>Vòng số 6 (19 - 22)</t>
  </si>
  <si>
    <t>Vòng số 7 (17 - 19)</t>
  </si>
  <si>
    <t>Fusion</t>
  </si>
  <si>
    <t>Chó - tiết niệu - dị ứng</t>
  </si>
  <si>
    <t>V.O.M - U/H cho chó - Hỗ trợ trị liệu đường tiết niệu và chống dị ứng 1.4kg</t>
  </si>
  <si>
    <t>448,000/1,4kg</t>
  </si>
  <si>
    <t>Có thể bán 100g</t>
  </si>
  <si>
    <t>Chó - giảm cân - dị ứng</t>
  </si>
  <si>
    <t>V.O.M - H/W cho chó - Hỗ trợ kiểm soát cân nặng và chống dị ứng 1.4kg</t>
  </si>
  <si>
    <t>Chó - tiêu hóa - dị ứng</t>
  </si>
  <si>
    <t>V.O.M - G/H cho chó - Hỗ trợ trị liệu cho hệ tiêu hoá và chống dị ứng 1.4kg</t>
  </si>
  <si>
    <t>Chó - thận - dị ứng</t>
  </si>
  <si>
    <t>V.O.M - R/H cho chó - Hỗ trợ trị liệu cho thận và chống dị ứng 1.4kg</t>
  </si>
  <si>
    <t>Chó - tim - thận</t>
  </si>
  <si>
    <t>V.O.M - C/R cho chó - Hỗ trợ trị liệu cho tim và thận 1.4kg</t>
  </si>
  <si>
    <t>Chó - gan</t>
  </si>
  <si>
    <t>V.O.M - H/C cho chó - Hỗ trợ trị liệu cho gan và ổn định tinh thần 1.4kg</t>
  </si>
  <si>
    <t>Chó - xương khớp - giảm cân</t>
  </si>
  <si>
    <t>V.O.M - J/W cho chó - Hỗ trợ trị liệu xương khớp và kiểm soát cân nặng 1.4kg</t>
  </si>
  <si>
    <t>Mèo - tiêu hóa - dị ứng</t>
  </si>
  <si>
    <t>V.O.M - G/H cho mèo - Hỗ trợ trị liệu cho hệ tiêu hoá và chống dị ứng 1.4kg</t>
  </si>
  <si>
    <t>Mèo - tiết niệu - kiểm soát calo</t>
  </si>
  <si>
    <t>V.O.M - U/M cho mèo - Hỗ trợ trị liệu cho đường tiết niệu và kiểm soát lượng calo 1.4kg</t>
  </si>
  <si>
    <t>485,000/1,4kg</t>
  </si>
  <si>
    <t>Mèo - thận - phục hồi</t>
  </si>
  <si>
    <t>V.O.M - R/R cho mèo - Hỗ trợ trị liệu cho thận và phục hồi cơ thể 1.4kg</t>
  </si>
  <si>
    <t>Chó - tiểu đường</t>
  </si>
  <si>
    <t>Velixer cho chó - DM/F - Hỗ trợ trị liệu bệnh tiểu đường 1.5kg</t>
  </si>
  <si>
    <t>450,000/1,5kg</t>
  </si>
  <si>
    <t>Chó - viêm tụy - rối loạn chuyển hóa lipid</t>
  </si>
  <si>
    <t>Velixer cho chó - LF/F - Hỗ trợ trị liệu bệnh viêm tuỵ, rối loạn chuyển hoá lipid 1.5kg</t>
  </si>
  <si>
    <t>BẢNG GIÁ DỊCH VỤ PHÒNG KHÁM THÚ Y DOCTOR PET</t>
  </si>
  <si>
    <t xml:space="preserve">Xét nghiệm </t>
  </si>
  <si>
    <t xml:space="preserve">TÊN DỊCH VỤ </t>
  </si>
  <si>
    <t>CHI PHÍ (vnđ)</t>
  </si>
  <si>
    <t xml:space="preserve">Chẩn đoán hình ảnh </t>
  </si>
  <si>
    <t xml:space="preserve">Khám &amp; Tư vấn </t>
  </si>
  <si>
    <t>Thăm khám lâm sàng bệnh nội khoa, ngoại khoa, sản khoa, ký sinh trùng và các bệnh truyền nhiễm</t>
  </si>
  <si>
    <t xml:space="preserve">Thăm dò chức năng </t>
  </si>
  <si>
    <t xml:space="preserve">Nội soi </t>
  </si>
  <si>
    <t>Khám vệ sinh tai</t>
  </si>
  <si>
    <t>Khám kiểm tra răng miệng</t>
  </si>
  <si>
    <t>Khám nhãn khoa cơ bản (fluorescein)</t>
  </si>
  <si>
    <t>Soi kính</t>
  </si>
  <si>
    <t>Soi kính hiển vi cơ bản</t>
  </si>
  <si>
    <t>Tẩy giun &amp; Tiêm ngừa</t>
  </si>
  <si>
    <t>Tiêm ngừa vaccine 5 bệnh chó</t>
  </si>
  <si>
    <t>Tiêm ngừa vaccine 7 bệnh chó</t>
  </si>
  <si>
    <t>Chẩn đoán hình ảnh</t>
  </si>
  <si>
    <t>Siêu âm bụng tổng quát</t>
  </si>
  <si>
    <t>Siêu âm thai kỳ</t>
  </si>
  <si>
    <t xml:space="preserve">Sinh lý máu </t>
  </si>
  <si>
    <t xml:space="preserve">SINH LÝ MÁU 4 DÒNG </t>
  </si>
  <si>
    <t xml:space="preserve">Sinh hóa máu </t>
  </si>
  <si>
    <t>Comprehensive Diagnostic Panel 22 (đĩa kiểm tra toàn diện tổng quát 22 thông số): TP, ALB, GLOB, A/G, TBIL, ALT, AST, BUN, CRE, UA, GLU, TG, TC, Ca, GGT, LDH, PHOS, CK, AMY, ALP, BUN/CREA, AST/ALT</t>
  </si>
  <si>
    <t>Xét nghiệm sinh hóa chuyên sâu 23 thông số đánh giá chức năng: 
✔️ Chức năng gan: AST, ALT, GGT, AST/ALT
✔️ Chức năng mật: TBA, ALP, TBIL
✔️ Chức năng thận: CRE, BUN, BUN/CREA
✔️ Chức năng tụy: AMY
✔️ Đánh giá tổn thương: CK, LDH
✔️ Đánh giá chuyển hóa: TP, ALB, GLOB, A/G
✔️ Đánh giá mỡ máu: TG, TC  
✔️ Đường huyết: GLU, 
✔️ Hàm lượng khoáng vi lượng thiết yếu: Ca, PHOS, PHOS*Ca</t>
  </si>
  <si>
    <t xml:space="preserve">Đông máu </t>
  </si>
  <si>
    <t>Coagulation Panel 14 (đĩa kiểm tra đông máu 14 thông số): APTT, PT, TT, FIB</t>
  </si>
  <si>
    <t xml:space="preserve">Khí máu - Điện giải </t>
  </si>
  <si>
    <t>Miễn dịch huỳnh quang</t>
  </si>
  <si>
    <t>Xét nghiệm miễn dịch CPV Ag</t>
  </si>
  <si>
    <t>Xét nghiệm miễn dịch CDV Ag</t>
  </si>
  <si>
    <t>Xét nghiệm miễn dịch CCOV Ag</t>
  </si>
  <si>
    <t>Xét nghiệm miễn dịch FPV Ag</t>
  </si>
  <si>
    <t>Xét nghiệm miễn dịch FHV Ag</t>
  </si>
  <si>
    <t>Xét nghiệm miễn dịch FCV Ag</t>
  </si>
  <si>
    <t>Xét nghiệm miễn dịch tầm soát viêm tụy fpL mèo</t>
  </si>
  <si>
    <t>Xét nghiệm miễn dịch tuyến giáp TT4</t>
  </si>
  <si>
    <t>Xét nghiệm miễn dịch tuyến giáp TSH</t>
  </si>
  <si>
    <t>PCR</t>
  </si>
  <si>
    <t>Kiểm tra ký sinh trùng máu Anaplasma spp.</t>
  </si>
  <si>
    <t>Kiểm tra ký sinh trùng máu Ehrlichia spp.</t>
  </si>
  <si>
    <t>Kiểm tra ký sinh trùng máu Babesia spp.</t>
  </si>
  <si>
    <t>Kiểm tra ký sinh trùng máu Hepatozoon spp.</t>
  </si>
  <si>
    <t>Thiến chó</t>
  </si>
  <si>
    <t>Thiến chó đực &lt;5kg</t>
  </si>
  <si>
    <t>Thiến chó đực 5 - 10kg</t>
  </si>
  <si>
    <t>Thiến chó đực 10 - 20kg</t>
  </si>
  <si>
    <t xml:space="preserve">Thiến mèo </t>
  </si>
  <si>
    <t>Thiến mèo đực &lt;5kg</t>
  </si>
  <si>
    <t>Thiến mèo đực 5 - 10kg</t>
  </si>
  <si>
    <t xml:space="preserve">Triệt sản chó </t>
  </si>
  <si>
    <t>Triệt sản chó cái &lt;5kg</t>
  </si>
  <si>
    <t>Triệt sản chó cái 5 - 10kg</t>
  </si>
  <si>
    <t>Triệt sản chó cái 10 - 20kg</t>
  </si>
  <si>
    <t xml:space="preserve">Triệt sản mèo </t>
  </si>
  <si>
    <t>Triệt sản mèo cái &lt;5kg</t>
  </si>
  <si>
    <t>Triệt sản mèo cái 5 - 10kg</t>
  </si>
  <si>
    <t xml:space="preserve">Lưu trú </t>
  </si>
  <si>
    <t>Lưu trú theo dõi sức khỏe chó &lt;5kg</t>
  </si>
  <si>
    <t>120,000/Ngày</t>
  </si>
  <si>
    <t>Lưu trú theo dõi sức khỏe chó 5 - 10kg</t>
  </si>
  <si>
    <t>140,000/Ngày</t>
  </si>
  <si>
    <t>Lưu trú theo dõi sức khỏe chó 10 - 20kg</t>
  </si>
  <si>
    <t>160,000/Ngày</t>
  </si>
  <si>
    <t>Lưu trú theo dõi sức khỏe mèo &lt;5kg</t>
  </si>
  <si>
    <t>Lưu trú theo dõi sức khỏe mèo &gt;5kg</t>
  </si>
  <si>
    <t xml:space="preserve">Dịch vụ khác </t>
  </si>
  <si>
    <t>Xét nghiệm kiểm tra Ferritin</t>
  </si>
  <si>
    <t>Chấm kiểm tra đường huyết</t>
  </si>
  <si>
    <t>Xông khí dung nước muối sinh lý</t>
  </si>
  <si>
    <t>100,000 - 150,000</t>
  </si>
  <si>
    <t>Xông khí dung kháng sinh</t>
  </si>
  <si>
    <t>Thở oxy - Hồi sức cấp cứu</t>
  </si>
  <si>
    <t>Thông tiểu mèo đực</t>
  </si>
  <si>
    <t>150,000/Lần</t>
  </si>
  <si>
    <t>Truyền dịch thú &lt;5kg</t>
  </si>
  <si>
    <t>Truyền dịch thú 5 - 10kg</t>
  </si>
  <si>
    <t>Truyền dịch thú 10 - 20kg</t>
  </si>
  <si>
    <t>Chích thuốc cơ bản &lt;5kg</t>
  </si>
  <si>
    <t>Chích thuốc cơ bản 5 - 10kg</t>
  </si>
  <si>
    <t>Chích thuốc cơ bản 10 - 15kg</t>
  </si>
  <si>
    <t>Chích thuốc cơ bản 15 - 20kg</t>
  </si>
  <si>
    <t>Phẫu thuật</t>
  </si>
  <si>
    <t>Phẫu thuật đỡ đẻ, mổ đẻ cho chó mèo</t>
  </si>
  <si>
    <t>Đẻ mỗ: 1000-2000 triệu; đẻ mổ + triệt sản: 1500-2500 triệu</t>
  </si>
  <si>
    <t>Phẫu thuật sa trực tràng</t>
  </si>
  <si>
    <t>Sa trực tràng (Hernia): 1200-2000 triệu</t>
  </si>
  <si>
    <t>Phẫu thuật nối ruột, tháo ruột</t>
  </si>
  <si>
    <t>Phẫu thuật cắt mống mắt</t>
  </si>
  <si>
    <t>Cắt mọng mắt: 700-1500</t>
  </si>
  <si>
    <t>Bó bột xương gãy</t>
  </si>
  <si>
    <t>Bó bột: 1500-2500</t>
  </si>
  <si>
    <t>Nhét tròng mắt</t>
  </si>
  <si>
    <t>Phẫu thuật cắt bỏ các khối u: U vú; u nang biểu bì...</t>
  </si>
  <si>
    <t>Cắt khối u: 2000-3000 triêu</t>
  </si>
  <si>
    <t>Phẫu thuật triệt sản</t>
  </si>
  <si>
    <t>Phẫu thuật mổ Hernie</t>
  </si>
  <si>
    <t>Phẫu thuật mổ sạn bàng quang, mổ sỏi thận, mổ lấy dị vật đường tiêu hóa</t>
  </si>
  <si>
    <t>Mổ sỏi bàng quang: 1200-2000 triệu</t>
  </si>
  <si>
    <t>Phẫu thuật tháo khớp</t>
  </si>
  <si>
    <t>Phẫu thuật áp xe</t>
  </si>
  <si>
    <t>Phẩu thuật áp xe - tương tự xử lý vết thương -&gt; máy sống 300-700</t>
  </si>
  <si>
    <t>Tiểu phẫu khâu đóng các vết thương và vùng da mềm</t>
  </si>
  <si>
    <t>Tiểu phẫu cắt đuôi</t>
  </si>
  <si>
    <t>Cắt đuôi chó con: 100k/con, chó lớn 1000-1500</t>
  </si>
  <si>
    <t>Miễn phí thì hiển thị 0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</si>
</sst>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_-* #,##0_-;\-* #,##0_-;_-* &quot;-&quot;??_-;_-@_-"/>
    <numFmt numFmtId="165" formatCode="\$#,##0"/>
  </numFmts>
  <fonts count="29" x14ac:knownFonts="1">
    <font>
      <sz val="10"/>
      <color theme="1"/>
      <name val="Calibri"/>
      <family val="2"/>
      <scheme val="minor"/>
    </font>
    <font>
      <b/>
      <sz val="13.5"/>
      <color rgb="FF4EA72E"/>
      <name val="Calibri"/>
      <family val="2"/>
      <scheme val="minor"/>
    </font>
    <font>
      <sz val="9.75"/>
      <color rgb="FF000000"/>
      <name val="Calibri"/>
      <family val="2"/>
      <scheme val="minor"/>
    </font>
    <font>
      <sz val="12"/>
      <color rgb="FF000000"/>
      <name val="Calibri"/>
      <family val="2"/>
      <scheme val="minor"/>
    </font>
    <font>
      <sz val="10.5"/>
      <color rgb="FF000000"/>
      <name val="Calibri"/>
      <family val="2"/>
      <scheme val="minor"/>
    </font>
    <font>
      <b/>
      <sz val="13.5"/>
      <color rgb="FFFFFFFF"/>
      <name val="Calibri"/>
      <family val="2"/>
      <scheme val="minor"/>
    </font>
    <font>
      <b/>
      <sz val="18"/>
      <color rgb="FF000000"/>
      <name val="Calibri"/>
      <family val="2"/>
      <scheme val="minor"/>
    </font>
    <font>
      <b/>
      <sz val="12"/>
      <color rgb="FFE8E8E8"/>
      <name val="Calibri"/>
      <family val="2"/>
      <scheme val="minor"/>
    </font>
    <font>
      <b/>
      <sz val="9.75"/>
      <color rgb="FF000000"/>
      <name val="Calibri"/>
      <family val="2"/>
      <scheme val="minor"/>
    </font>
    <font>
      <b/>
      <sz val="13.5"/>
      <color rgb="FFFF0000"/>
      <name val="Calibri"/>
      <family val="2"/>
      <scheme val="minor"/>
    </font>
    <font>
      <sz val="10.5"/>
      <color rgb="FF1F2329"/>
      <name val="Calibri"/>
      <family val="2"/>
      <scheme val="minor"/>
    </font>
    <font>
      <b/>
      <sz val="9.75"/>
      <color rgb="FFFFFFFF"/>
      <name val="Calibri"/>
      <family val="2"/>
      <scheme val="minor"/>
    </font>
    <font>
      <sz val="10.5"/>
      <color rgb="FF000000"/>
      <name val="Calibri"/>
      <family val="2"/>
      <scheme val="minor"/>
    </font>
    <font>
      <b/>
      <sz val="13.5"/>
      <color rgb="FF000000"/>
      <name val="Calibri"/>
      <family val="2"/>
      <scheme val="minor"/>
    </font>
    <font>
      <sz val="12"/>
      <color rgb="FF1F2329"/>
      <name val="Calibri"/>
      <family val="2"/>
      <scheme val="minor"/>
    </font>
    <font>
      <b/>
      <sz val="12"/>
      <color rgb="FF000000"/>
      <name val="Calibri"/>
      <family val="2"/>
      <scheme val="minor"/>
    </font>
    <font>
      <b/>
      <sz val="18"/>
      <color rgb="FF000000"/>
      <name val="Calibri"/>
      <family val="2"/>
      <scheme val="minor"/>
    </font>
    <font>
      <b/>
      <sz val="12"/>
      <color rgb="FFFFFFFF"/>
      <name val="Calibri"/>
      <family val="2"/>
      <scheme val="minor"/>
    </font>
    <font>
      <sz val="9.75"/>
      <color rgb="FFFFFFFF"/>
      <name val="Calibri"/>
      <family val="2"/>
      <scheme val="minor"/>
    </font>
    <font>
      <sz val="9.75"/>
      <color rgb="FF000000"/>
      <name val="Calibri"/>
      <family val="2"/>
      <scheme val="minor"/>
    </font>
    <font>
      <b/>
      <sz val="18"/>
      <color rgb="FFF54A45"/>
      <name val="Calibri"/>
      <family val="2"/>
      <scheme val="minor"/>
    </font>
    <font>
      <b/>
      <sz val="13.5"/>
      <color rgb="FFF54A45"/>
      <name val="Calibri"/>
      <family val="2"/>
      <scheme val="minor"/>
    </font>
    <font>
      <b/>
      <sz val="12"/>
      <color rgb="FF1F2329"/>
      <name val="Calibri"/>
      <family val="2"/>
      <scheme val="minor"/>
    </font>
    <font>
      <b/>
      <sz val="12"/>
      <color rgb="FF000000"/>
      <name val="Calibri"/>
      <family val="2"/>
      <scheme val="minor"/>
    </font>
    <font>
      <b/>
      <sz val="12"/>
      <color rgb="FF000000"/>
      <name val="Calibri"/>
      <family val="2"/>
    </font>
    <font>
      <sz val="12"/>
      <color rgb="FF000000"/>
      <name val="Calibri"/>
      <family val="2"/>
    </font>
    <font>
      <b/>
      <sz val="13.5"/>
      <color rgb="FFFFFFFF"/>
      <name val="Calibri"/>
      <family val="2"/>
    </font>
    <font>
      <b/>
      <sz val="13.5"/>
      <color rgb="FFF54A45"/>
      <name val="Calibri"/>
      <family val="2"/>
    </font>
    <font>
      <b/>
      <sz val="18"/>
      <color rgb="FFF54A45"/>
      <name val="Calibri"/>
      <family val="2"/>
    </font>
  </fonts>
  <fills count="36">
    <fill>
      <patternFill patternType="none"/>
    </fill>
    <fill>
      <patternFill patternType="gray125"/>
    </fill>
    <fill>
      <patternFill patternType="solid">
        <fgColor rgb="FFDAF2D0"/>
      </patternFill>
    </fill>
    <fill>
      <patternFill patternType="solid">
        <fgColor rgb="FF133C9A"/>
      </patternFill>
    </fill>
    <fill>
      <patternFill patternType="solid">
        <fgColor rgb="FF133C9A"/>
      </patternFill>
    </fill>
    <fill>
      <patternFill patternType="solid">
        <fgColor rgb="FFD83931"/>
      </patternFill>
    </fill>
    <fill>
      <patternFill patternType="solid">
        <fgColor rgb="FFD83931"/>
      </patternFill>
    </fill>
    <fill>
      <patternFill patternType="solid">
        <fgColor rgb="FF133C9A"/>
      </patternFill>
    </fill>
    <fill>
      <patternFill patternType="solid">
        <fgColor rgb="FF4E83FD"/>
      </patternFill>
    </fill>
    <fill>
      <patternFill patternType="solid">
        <fgColor rgb="FFD83931"/>
      </patternFill>
    </fill>
    <fill>
      <patternFill patternType="solid">
        <fgColor rgb="FFD83931"/>
      </patternFill>
    </fill>
    <fill>
      <patternFill patternType="solid">
        <fgColor rgb="FF133C9A"/>
      </patternFill>
    </fill>
    <fill>
      <patternFill patternType="solid">
        <fgColor rgb="FFD83931"/>
      </patternFill>
    </fill>
    <fill>
      <patternFill patternType="solid">
        <fgColor rgb="FFD83931"/>
      </patternFill>
    </fill>
    <fill>
      <patternFill patternType="solid">
        <fgColor rgb="FFDAF2D0"/>
      </patternFill>
    </fill>
    <fill>
      <patternFill patternType="solid">
        <fgColor rgb="FF133C9A"/>
      </patternFill>
    </fill>
    <fill>
      <patternFill patternType="solid">
        <fgColor rgb="FFBDD6EE"/>
      </patternFill>
    </fill>
    <fill>
      <patternFill patternType="solid">
        <fgColor rgb="FFBDD6EE"/>
      </patternFill>
    </fill>
    <fill>
      <patternFill patternType="solid">
        <fgColor rgb="FFBDD6EE"/>
      </patternFill>
    </fill>
    <fill>
      <patternFill patternType="solid">
        <fgColor rgb="FFBDD6EE"/>
      </patternFill>
    </fill>
    <fill>
      <patternFill patternType="solid">
        <fgColor rgb="FF00B0F0"/>
      </patternFill>
    </fill>
    <fill>
      <patternFill patternType="solid">
        <fgColor rgb="FFD9F5D6"/>
      </patternFill>
    </fill>
    <fill>
      <patternFill patternType="solid">
        <fgColor rgb="FFD9F5D6"/>
      </patternFill>
    </fill>
    <fill>
      <patternFill patternType="solid">
        <fgColor rgb="FFD9F5D6"/>
      </patternFill>
    </fill>
    <fill>
      <patternFill patternType="solid">
        <fgColor rgb="FFF14BA9"/>
      </patternFill>
    </fill>
    <fill>
      <patternFill patternType="solid">
        <fgColor rgb="FFD9F5D6"/>
      </patternFill>
    </fill>
    <fill>
      <patternFill patternType="solid">
        <fgColor rgb="FFD9F5D6"/>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s>
  <borders count="120">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1F2329"/>
      </left>
      <right style="thin">
        <color rgb="FF1F2329"/>
      </right>
      <top style="thin">
        <color rgb="FF1F2329"/>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ont="0" applyFill="0" applyBorder="0" applyProtection="0"/>
  </cellStyleXfs>
  <cellXfs count="130">
    <xf numFmtId="0" fontId="0" fillId="0" borderId="0" xfId="0" applyAlignment="1">
      <alignment vertical="center"/>
    </xf>
    <xf numFmtId="0" fontId="1" fillId="2" borderId="1" xfId="0" applyFont="1" applyFill="1" applyBorder="1" applyAlignment="1">
      <alignment horizontal="center" vertical="center" wrapText="1"/>
    </xf>
    <xf numFmtId="3" fontId="4" fillId="0" borderId="4" xfId="0" applyNumberFormat="1" applyFont="1" applyBorder="1" applyAlignment="1">
      <alignment horizontal="right" vertical="center"/>
    </xf>
    <xf numFmtId="0" fontId="1" fillId="0" borderId="5" xfId="0" applyFont="1" applyBorder="1" applyAlignment="1">
      <alignment horizontal="center" vertical="center" wrapText="1"/>
    </xf>
    <xf numFmtId="0" fontId="3" fillId="0" borderId="6" xfId="0" applyFont="1" applyBorder="1" applyAlignment="1">
      <alignment horizontal="center" vertical="center" wrapText="1"/>
    </xf>
    <xf numFmtId="0" fontId="1" fillId="0" borderId="7" xfId="0" applyFont="1" applyBorder="1" applyAlignment="1">
      <alignment horizontal="left" vertical="center" wrapText="1"/>
    </xf>
    <xf numFmtId="0" fontId="5" fillId="3" borderId="8" xfId="0" applyFont="1" applyFill="1" applyBorder="1" applyAlignment="1">
      <alignment horizontal="center" vertical="center"/>
    </xf>
    <xf numFmtId="0" fontId="2" fillId="0" borderId="11" xfId="0" applyFont="1" applyBorder="1" applyAlignment="1">
      <alignment horizontal="right" vertical="center"/>
    </xf>
    <xf numFmtId="0" fontId="7" fillId="4" borderId="12" xfId="0" applyFont="1" applyFill="1" applyBorder="1" applyAlignment="1">
      <alignment vertical="center" wrapText="1"/>
    </xf>
    <xf numFmtId="0" fontId="8" fillId="0" borderId="13" xfId="0" applyFont="1" applyBorder="1" applyAlignment="1">
      <alignment horizontal="center" vertical="center"/>
    </xf>
    <xf numFmtId="0" fontId="8" fillId="0" borderId="14" xfId="0" applyFont="1" applyBorder="1" applyAlignment="1">
      <alignment horizontal="center" vertical="center" wrapText="1"/>
    </xf>
    <xf numFmtId="3" fontId="9" fillId="0" borderId="16" xfId="0" applyNumberFormat="1" applyFont="1" applyBorder="1" applyAlignment="1">
      <alignment horizontal="center" vertical="center" wrapText="1"/>
    </xf>
    <xf numFmtId="0" fontId="10" fillId="0" borderId="17" xfId="0" applyFont="1" applyBorder="1" applyAlignment="1">
      <alignment horizontal="center" vertical="center" wrapText="1"/>
    </xf>
    <xf numFmtId="0" fontId="11" fillId="5" borderId="18" xfId="0" applyFont="1" applyFill="1" applyBorder="1" applyAlignment="1">
      <alignment vertical="center"/>
    </xf>
    <xf numFmtId="3" fontId="15" fillId="0" borderId="23" xfId="0" applyNumberFormat="1" applyFont="1" applyBorder="1" applyAlignment="1">
      <alignment horizontal="center" vertical="center" wrapText="1"/>
    </xf>
    <xf numFmtId="0" fontId="11" fillId="6" borderId="24" xfId="0" applyFont="1" applyFill="1" applyBorder="1" applyAlignment="1">
      <alignment horizontal="right" vertical="center"/>
    </xf>
    <xf numFmtId="0" fontId="16" fillId="0" borderId="25" xfId="0" applyFont="1" applyBorder="1" applyAlignment="1">
      <alignment horizontal="center" vertical="center"/>
    </xf>
    <xf numFmtId="3" fontId="4" fillId="0" borderId="27" xfId="0" applyNumberFormat="1" applyFont="1" applyBorder="1" applyAlignment="1">
      <alignment horizontal="right" vertical="center"/>
    </xf>
    <xf numFmtId="3" fontId="4" fillId="0" borderId="28" xfId="0" applyNumberFormat="1" applyFont="1" applyBorder="1" applyAlignment="1"/>
    <xf numFmtId="0" fontId="3" fillId="0" borderId="31" xfId="0" applyFont="1" applyBorder="1" applyAlignment="1">
      <alignment horizontal="left" vertical="center" wrapText="1"/>
    </xf>
    <xf numFmtId="0" fontId="17" fillId="9" borderId="32" xfId="0" applyFont="1" applyFill="1" applyBorder="1" applyAlignment="1">
      <alignment horizontal="left" vertical="center"/>
    </xf>
    <xf numFmtId="0" fontId="18" fillId="10" borderId="33" xfId="0" applyFont="1" applyFill="1" applyBorder="1" applyAlignment="1">
      <alignment vertical="center"/>
    </xf>
    <xf numFmtId="1" fontId="2" fillId="0" borderId="37" xfId="0" applyNumberFormat="1" applyFont="1" applyBorder="1" applyAlignment="1">
      <alignment vertical="center"/>
    </xf>
    <xf numFmtId="3" fontId="4" fillId="0" borderId="39" xfId="0" applyNumberFormat="1" applyFont="1" applyBorder="1" applyAlignment="1">
      <alignment vertical="center"/>
    </xf>
    <xf numFmtId="0" fontId="1" fillId="14" borderId="42" xfId="0" applyFont="1" applyFill="1" applyBorder="1" applyAlignment="1">
      <alignment horizontal="center" vertical="center" wrapText="1"/>
    </xf>
    <xf numFmtId="0" fontId="2" fillId="0" borderId="43" xfId="0" applyFont="1" applyBorder="1" applyAlignment="1">
      <alignment horizontal="right" vertical="center"/>
    </xf>
    <xf numFmtId="0" fontId="3" fillId="0" borderId="44" xfId="0" applyFont="1" applyBorder="1" applyAlignment="1">
      <alignment horizontal="center" vertical="center" wrapText="1"/>
    </xf>
    <xf numFmtId="3" fontId="13" fillId="0" borderId="46" xfId="0" applyNumberFormat="1" applyFont="1" applyBorder="1" applyAlignment="1">
      <alignment vertical="center"/>
    </xf>
    <xf numFmtId="0" fontId="13" fillId="0" borderId="47" xfId="0" applyFont="1" applyBorder="1" applyAlignment="1">
      <alignment vertical="center"/>
    </xf>
    <xf numFmtId="0" fontId="19" fillId="0" borderId="48" xfId="0" applyFont="1" applyBorder="1" applyAlignment="1">
      <alignment vertical="center"/>
    </xf>
    <xf numFmtId="0" fontId="20" fillId="0" borderId="49" xfId="0" applyFont="1" applyBorder="1" applyAlignment="1">
      <alignment horizontal="right" vertical="center"/>
    </xf>
    <xf numFmtId="0" fontId="13" fillId="0" borderId="50" xfId="0" applyFont="1" applyBorder="1" applyAlignment="1">
      <alignment vertical="center"/>
    </xf>
    <xf numFmtId="0" fontId="15" fillId="0" borderId="51" xfId="0" applyFont="1" applyBorder="1" applyAlignment="1">
      <alignment horizontal="center" vertical="center" wrapText="1"/>
    </xf>
    <xf numFmtId="0" fontId="22" fillId="0" borderId="53" xfId="0" applyFont="1" applyBorder="1" applyAlignment="1">
      <alignment horizontal="center" vertical="center" wrapText="1"/>
    </xf>
    <xf numFmtId="0" fontId="20" fillId="0" borderId="55" xfId="0" applyFont="1" applyBorder="1" applyAlignment="1">
      <alignment horizontal="right" vertical="center"/>
    </xf>
    <xf numFmtId="0" fontId="3" fillId="0" borderId="56" xfId="0" applyFont="1" applyBorder="1" applyAlignment="1">
      <alignment horizontal="center" vertical="center"/>
    </xf>
    <xf numFmtId="0" fontId="3" fillId="0" borderId="57" xfId="0" applyFont="1" applyBorder="1" applyAlignment="1">
      <alignment horizontal="left" vertical="center"/>
    </xf>
    <xf numFmtId="164" fontId="3" fillId="0" borderId="58" xfId="0" applyNumberFormat="1" applyFont="1" applyBorder="1" applyAlignment="1">
      <alignment vertical="center"/>
    </xf>
    <xf numFmtId="0" fontId="3" fillId="0" borderId="59" xfId="0" applyFont="1" applyBorder="1" applyAlignment="1">
      <alignment vertical="center"/>
    </xf>
    <xf numFmtId="9" fontId="3" fillId="0" borderId="60" xfId="0" applyNumberFormat="1" applyFont="1" applyBorder="1" applyAlignment="1">
      <alignment horizontal="center" vertical="center"/>
    </xf>
    <xf numFmtId="0" fontId="2" fillId="0" borderId="61" xfId="0" applyFont="1" applyBorder="1" applyAlignment="1">
      <alignment horizontal="left" vertical="center"/>
    </xf>
    <xf numFmtId="164" fontId="3" fillId="0" borderId="62" xfId="0" applyNumberFormat="1" applyFont="1" applyBorder="1" applyAlignment="1">
      <alignment horizontal="center" vertical="center"/>
    </xf>
    <xf numFmtId="0" fontId="15" fillId="0" borderId="63" xfId="0" applyFont="1" applyBorder="1" applyAlignment="1">
      <alignment horizontal="center" vertical="center"/>
    </xf>
    <xf numFmtId="0" fontId="15" fillId="16" borderId="68" xfId="0" applyFont="1" applyFill="1" applyBorder="1" applyAlignment="1">
      <alignment horizontal="left" vertical="center"/>
    </xf>
    <xf numFmtId="0" fontId="3" fillId="17" borderId="69" xfId="0" applyFont="1" applyFill="1" applyBorder="1" applyAlignment="1">
      <alignment horizontal="center" vertical="center"/>
    </xf>
    <xf numFmtId="164" fontId="3" fillId="18" borderId="70" xfId="0" applyNumberFormat="1" applyFont="1" applyFill="1" applyBorder="1" applyAlignment="1">
      <alignment horizontal="center" vertical="center"/>
    </xf>
    <xf numFmtId="0" fontId="3" fillId="19" borderId="71" xfId="0" applyFont="1" applyFill="1" applyBorder="1" applyAlignment="1">
      <alignment horizontal="left" vertical="center" wrapText="1"/>
    </xf>
    <xf numFmtId="0" fontId="14" fillId="0" borderId="72" xfId="0" applyFont="1" applyBorder="1" applyAlignment="1">
      <alignment horizontal="left" vertical="center" wrapText="1"/>
    </xf>
    <xf numFmtId="0" fontId="14" fillId="0" borderId="73" xfId="0" applyFont="1" applyBorder="1" applyAlignment="1">
      <alignment horizontal="center" vertical="center"/>
    </xf>
    <xf numFmtId="0" fontId="3" fillId="0" borderId="74" xfId="0" applyFont="1" applyBorder="1" applyAlignment="1"/>
    <xf numFmtId="0" fontId="14" fillId="0" borderId="75" xfId="0" applyFont="1" applyBorder="1" applyAlignment="1">
      <alignment horizontal="left" vertical="center"/>
    </xf>
    <xf numFmtId="164" fontId="3" fillId="20" borderId="76" xfId="0" applyNumberFormat="1" applyFont="1" applyFill="1" applyBorder="1" applyAlignment="1">
      <alignment vertical="center"/>
    </xf>
    <xf numFmtId="0" fontId="15" fillId="21" borderId="77" xfId="0" applyFont="1" applyFill="1" applyBorder="1" applyAlignment="1">
      <alignment horizontal="center" vertical="center"/>
    </xf>
    <xf numFmtId="0" fontId="15" fillId="22" borderId="78" xfId="0" applyFont="1" applyFill="1" applyBorder="1" applyAlignment="1">
      <alignment horizontal="center" vertical="center" wrapText="1"/>
    </xf>
    <xf numFmtId="164" fontId="15" fillId="23" borderId="79" xfId="0" applyNumberFormat="1" applyFont="1" applyFill="1" applyBorder="1" applyAlignment="1">
      <alignment horizontal="center" vertical="center"/>
    </xf>
    <xf numFmtId="164" fontId="15" fillId="24" borderId="80" xfId="0" applyNumberFormat="1" applyFont="1" applyFill="1" applyBorder="1" applyAlignment="1">
      <alignment horizontal="center" vertical="center" wrapText="1"/>
    </xf>
    <xf numFmtId="0" fontId="3" fillId="25" borderId="81" xfId="0" applyFont="1" applyFill="1" applyBorder="1" applyAlignment="1">
      <alignment vertical="center"/>
    </xf>
    <xf numFmtId="164" fontId="15" fillId="26" borderId="82" xfId="0" applyNumberFormat="1" applyFont="1" applyFill="1" applyBorder="1" applyAlignment="1">
      <alignment horizontal="center" vertical="center" wrapText="1"/>
    </xf>
    <xf numFmtId="164" fontId="15" fillId="27" borderId="83" xfId="0" applyNumberFormat="1" applyFont="1" applyFill="1" applyBorder="1" applyAlignment="1">
      <alignment horizontal="center" vertical="center" wrapText="1"/>
    </xf>
    <xf numFmtId="0" fontId="3" fillId="0" borderId="84" xfId="0" applyFont="1" applyBorder="1" applyAlignment="1">
      <alignment horizontal="center" vertical="center"/>
    </xf>
    <xf numFmtId="0" fontId="3" fillId="0" borderId="85" xfId="0" applyFont="1" applyBorder="1" applyAlignment="1">
      <alignment horizontal="left" vertical="center" wrapText="1"/>
    </xf>
    <xf numFmtId="0" fontId="19" fillId="0" borderId="87" xfId="0" applyFont="1" applyBorder="1" applyAlignment="1">
      <alignment horizontal="center" vertical="center"/>
    </xf>
    <xf numFmtId="0" fontId="19" fillId="0" borderId="88" xfId="0" applyFont="1" applyBorder="1" applyAlignment="1">
      <alignment vertical="center" wrapText="1"/>
    </xf>
    <xf numFmtId="165" fontId="19" fillId="0" borderId="89" xfId="0" applyNumberFormat="1" applyFont="1" applyBorder="1" applyAlignment="1">
      <alignment horizontal="center" vertical="center"/>
    </xf>
    <xf numFmtId="0" fontId="3" fillId="0" borderId="90" xfId="0" applyFont="1" applyBorder="1" applyAlignment="1">
      <alignment horizontal="center" vertical="center"/>
    </xf>
    <xf numFmtId="0" fontId="3" fillId="0" borderId="91" xfId="0" applyFont="1" applyBorder="1" applyAlignment="1">
      <alignment horizontal="left" vertical="center" wrapText="1"/>
    </xf>
    <xf numFmtId="3" fontId="3" fillId="0" borderId="93" xfId="0" applyNumberFormat="1" applyFont="1" applyBorder="1" applyAlignment="1">
      <alignment horizontal="center" vertical="center"/>
    </xf>
    <xf numFmtId="0" fontId="15" fillId="0" borderId="96" xfId="0" applyFont="1" applyBorder="1" applyAlignment="1">
      <alignment horizontal="center" vertical="center"/>
    </xf>
    <xf numFmtId="0" fontId="3" fillId="28" borderId="98" xfId="0" applyFont="1" applyFill="1" applyBorder="1" applyAlignment="1">
      <alignment horizontal="left" vertical="center" wrapText="1"/>
    </xf>
    <xf numFmtId="3" fontId="3" fillId="29" borderId="99" xfId="0" applyNumberFormat="1" applyFont="1" applyFill="1" applyBorder="1" applyAlignment="1">
      <alignment horizontal="center" vertical="center"/>
    </xf>
    <xf numFmtId="0" fontId="3" fillId="30" borderId="100" xfId="0" applyFont="1" applyFill="1" applyBorder="1" applyAlignment="1">
      <alignment horizontal="left" vertical="center" wrapText="1"/>
    </xf>
    <xf numFmtId="0" fontId="3" fillId="31" borderId="101" xfId="0" applyFont="1" applyFill="1" applyBorder="1" applyAlignment="1">
      <alignment horizontal="center" vertical="center" wrapText="1"/>
    </xf>
    <xf numFmtId="165" fontId="3" fillId="0" borderId="103" xfId="0" applyNumberFormat="1" applyFont="1" applyBorder="1" applyAlignment="1">
      <alignment horizontal="center" vertical="center"/>
    </xf>
    <xf numFmtId="165" fontId="3" fillId="0" borderId="104" xfId="0" applyNumberFormat="1" applyFont="1" applyBorder="1" applyAlignment="1">
      <alignment horizontal="center" vertical="center"/>
    </xf>
    <xf numFmtId="0" fontId="2" fillId="0" borderId="105" xfId="0" applyFont="1" applyBorder="1" applyAlignment="1">
      <alignment vertical="center" wrapText="1"/>
    </xf>
    <xf numFmtId="165" fontId="2" fillId="0" borderId="106" xfId="0" applyNumberFormat="1" applyFont="1" applyBorder="1" applyAlignment="1">
      <alignment horizontal="center" vertical="center"/>
    </xf>
    <xf numFmtId="0" fontId="2" fillId="0" borderId="107" xfId="0" applyFont="1" applyBorder="1" applyAlignment="1">
      <alignment horizontal="center" vertical="center"/>
    </xf>
    <xf numFmtId="0" fontId="3" fillId="0" borderId="111" xfId="0" applyFont="1" applyBorder="1" applyAlignment="1">
      <alignment horizontal="center" vertical="center"/>
    </xf>
    <xf numFmtId="0" fontId="3" fillId="0" borderId="113" xfId="0" applyFont="1" applyBorder="1" applyAlignment="1">
      <alignment horizontal="left" vertical="center" wrapText="1"/>
    </xf>
    <xf numFmtId="165" fontId="3" fillId="0" borderId="114" xfId="0" applyNumberFormat="1" applyFont="1" applyBorder="1" applyAlignment="1">
      <alignment horizontal="center" vertical="center"/>
    </xf>
    <xf numFmtId="0" fontId="3" fillId="0" borderId="115" xfId="0" applyFont="1" applyBorder="1" applyAlignment="1">
      <alignment horizontal="left" vertical="center" wrapText="1"/>
    </xf>
    <xf numFmtId="165" fontId="3" fillId="0" borderId="116" xfId="0" applyNumberFormat="1" applyFont="1" applyBorder="1" applyAlignment="1">
      <alignment horizontal="center" vertical="center"/>
    </xf>
    <xf numFmtId="165" fontId="15" fillId="35" borderId="118" xfId="0" applyNumberFormat="1" applyFont="1" applyFill="1" applyBorder="1" applyAlignment="1">
      <alignment horizontal="center" vertical="center" wrapText="1"/>
    </xf>
    <xf numFmtId="0" fontId="7" fillId="4" borderId="12" xfId="0" applyFont="1" applyFill="1" applyBorder="1" applyAlignment="1">
      <alignment vertical="center" wrapText="1"/>
    </xf>
    <xf numFmtId="0" fontId="3" fillId="0" borderId="3" xfId="0" applyFont="1" applyBorder="1" applyAlignment="1">
      <alignment vertical="center" wrapText="1"/>
    </xf>
    <xf numFmtId="0" fontId="3" fillId="0" borderId="6" xfId="0" applyFont="1" applyBorder="1" applyAlignment="1">
      <alignment horizontal="center" vertical="center" wrapText="1"/>
    </xf>
    <xf numFmtId="0" fontId="5" fillId="3" borderId="8" xfId="0" applyFont="1" applyFill="1" applyBorder="1" applyAlignment="1">
      <alignment horizontal="center" vertical="center"/>
    </xf>
    <xf numFmtId="0" fontId="2" fillId="0" borderId="2" xfId="0" applyFont="1" applyBorder="1" applyAlignment="1">
      <alignment vertical="top" wrapText="1"/>
    </xf>
    <xf numFmtId="0" fontId="6" fillId="0" borderId="9" xfId="0" applyFont="1" applyBorder="1" applyAlignment="1">
      <alignment vertical="center"/>
    </xf>
    <xf numFmtId="0" fontId="6" fillId="0" borderId="10" xfId="0" applyFont="1" applyBorder="1" applyAlignment="1">
      <alignment vertical="center"/>
    </xf>
    <xf numFmtId="0" fontId="1" fillId="2" borderId="1" xfId="0" applyFont="1" applyFill="1" applyBorder="1" applyAlignment="1">
      <alignment horizontal="center" vertical="center" wrapText="1"/>
    </xf>
    <xf numFmtId="0" fontId="13" fillId="0" borderId="20" xfId="0" applyFont="1" applyBorder="1" applyAlignment="1">
      <alignment horizontal="center" vertical="center"/>
    </xf>
    <xf numFmtId="0" fontId="12" fillId="0" borderId="19" xfId="0" applyFont="1" applyBorder="1" applyAlignment="1">
      <alignment horizontal="center" vertical="center"/>
    </xf>
    <xf numFmtId="0" fontId="3" fillId="0" borderId="21" xfId="0" applyFont="1" applyBorder="1" applyAlignment="1">
      <alignment vertical="center"/>
    </xf>
    <xf numFmtId="0" fontId="14" fillId="0" borderId="22" xfId="0" applyFont="1" applyBorder="1" applyAlignment="1">
      <alignment wrapText="1"/>
    </xf>
    <xf numFmtId="0" fontId="3" fillId="0" borderId="15" xfId="0" applyFont="1" applyBorder="1" applyAlignment="1">
      <alignment vertical="center" wrapText="1"/>
    </xf>
    <xf numFmtId="0" fontId="3" fillId="0" borderId="31" xfId="0" applyFont="1" applyBorder="1" applyAlignment="1">
      <alignment horizontal="left" vertical="center" wrapText="1"/>
    </xf>
    <xf numFmtId="0" fontId="3" fillId="0" borderId="26" xfId="0" applyFont="1" applyBorder="1" applyAlignment="1">
      <alignment wrapText="1"/>
    </xf>
    <xf numFmtId="0" fontId="7" fillId="11" borderId="34" xfId="0" applyFont="1" applyFill="1" applyBorder="1" applyAlignment="1">
      <alignment vertical="center" wrapText="1"/>
    </xf>
    <xf numFmtId="0" fontId="7" fillId="7" borderId="29" xfId="0" applyFont="1" applyFill="1" applyBorder="1" applyAlignment="1">
      <alignment horizontal="center" vertical="center" wrapText="1"/>
    </xf>
    <xf numFmtId="0" fontId="7" fillId="8" borderId="30" xfId="0" applyFont="1" applyFill="1" applyBorder="1" applyAlignment="1">
      <alignment horizontal="center" vertical="center" wrapText="1"/>
    </xf>
    <xf numFmtId="1" fontId="17" fillId="13" borderId="36" xfId="0" applyNumberFormat="1" applyFont="1" applyFill="1" applyBorder="1" applyAlignment="1">
      <alignment horizontal="right" vertical="center"/>
    </xf>
    <xf numFmtId="0" fontId="17" fillId="12" borderId="35" xfId="0" applyFont="1" applyFill="1" applyBorder="1" applyAlignment="1">
      <alignment horizontal="right" vertical="center"/>
    </xf>
    <xf numFmtId="0" fontId="3" fillId="0" borderId="38" xfId="0" applyFont="1" applyBorder="1" applyAlignment="1">
      <alignment vertical="top" wrapText="1"/>
    </xf>
    <xf numFmtId="0" fontId="13" fillId="0" borderId="47" xfId="0" applyFont="1" applyBorder="1" applyAlignment="1">
      <alignment vertical="center"/>
    </xf>
    <xf numFmtId="0" fontId="13" fillId="0" borderId="45" xfId="0" applyFont="1" applyBorder="1" applyAlignment="1">
      <alignment vertical="center"/>
    </xf>
    <xf numFmtId="0" fontId="20" fillId="0" borderId="49" xfId="0" applyFont="1" applyBorder="1" applyAlignment="1">
      <alignment horizontal="right" vertical="center"/>
    </xf>
    <xf numFmtId="0" fontId="14" fillId="0" borderId="40" xfId="0" applyFont="1" applyBorder="1" applyAlignment="1">
      <alignment vertical="center"/>
    </xf>
    <xf numFmtId="0" fontId="3" fillId="0" borderId="41" xfId="0" applyFont="1" applyBorder="1" applyAlignment="1">
      <alignment vertical="center" wrapText="1"/>
    </xf>
    <xf numFmtId="0" fontId="21" fillId="15" borderId="52" xfId="0" applyFont="1" applyFill="1" applyBorder="1" applyAlignment="1">
      <alignment horizontal="center" vertical="center"/>
    </xf>
    <xf numFmtId="0" fontId="23" fillId="0" borderId="54" xfId="0" applyFont="1" applyBorder="1" applyAlignment="1">
      <alignment vertical="center"/>
    </xf>
    <xf numFmtId="0" fontId="16" fillId="0" borderId="66" xfId="0" applyFont="1" applyBorder="1" applyAlignment="1">
      <alignment horizontal="center" vertical="center"/>
    </xf>
    <xf numFmtId="0" fontId="16" fillId="0" borderId="67" xfId="0" applyFont="1" applyBorder="1" applyAlignment="1">
      <alignment horizontal="left" vertical="center"/>
    </xf>
    <xf numFmtId="164" fontId="3" fillId="0" borderId="64" xfId="0" applyNumberFormat="1" applyFont="1" applyBorder="1" applyAlignment="1">
      <alignment horizontal="center" vertical="center" wrapText="1"/>
    </xf>
    <xf numFmtId="43" fontId="3" fillId="0" borderId="65" xfId="0" applyNumberFormat="1" applyFont="1" applyBorder="1" applyAlignment="1">
      <alignment horizontal="center" vertical="center" wrapText="1"/>
    </xf>
    <xf numFmtId="0" fontId="14" fillId="0" borderId="75" xfId="0" applyFont="1" applyBorder="1" applyAlignment="1">
      <alignment horizontal="left" vertical="center"/>
    </xf>
    <xf numFmtId="0" fontId="15" fillId="0" borderId="86" xfId="0" applyFont="1" applyBorder="1" applyAlignment="1">
      <alignment horizontal="center" vertical="center"/>
    </xf>
    <xf numFmtId="0" fontId="15" fillId="0" borderId="92" xfId="0" applyFont="1" applyBorder="1" applyAlignment="1">
      <alignment horizontal="center" vertical="center" wrapText="1"/>
    </xf>
    <xf numFmtId="0" fontId="15" fillId="0" borderId="97" xfId="0" applyFont="1" applyBorder="1" applyAlignment="1">
      <alignment horizontal="center" vertical="center"/>
    </xf>
    <xf numFmtId="0" fontId="15" fillId="0" borderId="63" xfId="0" applyFont="1" applyBorder="1" applyAlignment="1">
      <alignment horizontal="center" vertical="center"/>
    </xf>
    <xf numFmtId="0" fontId="15" fillId="0" borderId="119" xfId="0" applyFont="1" applyBorder="1" applyAlignment="1">
      <alignment horizontal="center" vertical="center" wrapText="1"/>
    </xf>
    <xf numFmtId="0" fontId="15" fillId="32" borderId="108" xfId="0" applyFont="1" applyFill="1" applyBorder="1" applyAlignment="1">
      <alignment horizontal="center" vertical="center"/>
    </xf>
    <xf numFmtId="0" fontId="15" fillId="34" borderId="110" xfId="0" applyFont="1" applyFill="1" applyBorder="1" applyAlignment="1">
      <alignment horizontal="left" vertical="center" wrapText="1"/>
    </xf>
    <xf numFmtId="165" fontId="15" fillId="33" borderId="109" xfId="0" applyNumberFormat="1" applyFont="1" applyFill="1" applyBorder="1" applyAlignment="1">
      <alignment horizontal="center" vertical="center"/>
    </xf>
    <xf numFmtId="0" fontId="15" fillId="0" borderId="96" xfId="0" applyFont="1" applyBorder="1" applyAlignment="1">
      <alignment horizontal="center" vertical="center"/>
    </xf>
    <xf numFmtId="0" fontId="15" fillId="0" borderId="95" xfId="0" applyFont="1" applyBorder="1" applyAlignment="1">
      <alignment horizontal="center" vertical="center" wrapText="1"/>
    </xf>
    <xf numFmtId="0" fontId="15" fillId="0" borderId="94" xfId="0" applyFont="1" applyBorder="1" applyAlignment="1">
      <alignment horizontal="center" vertical="center"/>
    </xf>
    <xf numFmtId="0" fontId="15" fillId="0" borderId="112" xfId="0" applyFont="1" applyBorder="1" applyAlignment="1">
      <alignment horizontal="center" vertical="center" wrapText="1"/>
    </xf>
    <xf numFmtId="0" fontId="15" fillId="0" borderId="102" xfId="0" applyFont="1" applyBorder="1" applyAlignment="1">
      <alignment horizontal="center" vertical="center" wrapText="1"/>
    </xf>
    <xf numFmtId="0" fontId="15" fillId="0" borderId="11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57"/>
  <sheetViews>
    <sheetView topLeftCell="A16" workbookViewId="0">
      <selection activeCell="J9" sqref="J9"/>
    </sheetView>
  </sheetViews>
  <sheetFormatPr defaultColWidth="14" defaultRowHeight="13.8" x14ac:dyDescent="0.3"/>
  <cols>
    <col min="1" max="1" width="8" customWidth="1"/>
    <col min="4" max="4" width="17" customWidth="1"/>
    <col min="5" max="5" width="28" customWidth="1"/>
    <col min="6" max="8" width="14" customWidth="1"/>
    <col min="9" max="9" width="16" customWidth="1"/>
    <col min="13" max="13" width="17" customWidth="1"/>
    <col min="14" max="14" width="16" customWidth="1"/>
    <col min="17" max="17" width="15" customWidth="1"/>
  </cols>
  <sheetData>
    <row r="1" spans="1:17" ht="24.6" customHeight="1" x14ac:dyDescent="0.3">
      <c r="A1" s="86" t="s">
        <v>1</v>
      </c>
      <c r="B1" s="86"/>
      <c r="C1" s="86"/>
      <c r="D1" s="86"/>
      <c r="E1" s="86"/>
      <c r="F1" s="86"/>
      <c r="G1" s="86"/>
      <c r="H1" s="86"/>
      <c r="I1" s="6"/>
      <c r="K1" s="88" t="s">
        <v>9</v>
      </c>
      <c r="L1" s="88"/>
      <c r="M1" s="88"/>
      <c r="N1" s="89"/>
      <c r="O1" s="88" t="s">
        <v>10</v>
      </c>
      <c r="P1" s="88"/>
      <c r="Q1" s="88"/>
    </row>
    <row r="2" spans="1:17" ht="24.6" customHeight="1" x14ac:dyDescent="0.3">
      <c r="A2" s="9" t="s">
        <v>11</v>
      </c>
      <c r="B2" s="85" t="s">
        <v>12</v>
      </c>
      <c r="C2" s="85"/>
      <c r="D2" s="85"/>
      <c r="E2" s="85"/>
      <c r="F2" s="85"/>
      <c r="G2" s="85"/>
      <c r="H2" s="9" t="s">
        <v>13</v>
      </c>
      <c r="I2" s="10" t="s">
        <v>14</v>
      </c>
      <c r="K2" s="87" t="s">
        <v>15</v>
      </c>
      <c r="L2" s="87"/>
      <c r="M2" s="87"/>
      <c r="N2" s="87"/>
      <c r="O2" s="87" t="s">
        <v>16</v>
      </c>
      <c r="P2" s="87"/>
      <c r="Q2" s="87"/>
    </row>
    <row r="3" spans="1:17" ht="24.6" customHeight="1" x14ac:dyDescent="0.3">
      <c r="A3" s="83" t="s">
        <v>17</v>
      </c>
      <c r="B3" s="83"/>
      <c r="C3" s="83"/>
      <c r="D3" s="83"/>
      <c r="E3" s="83"/>
      <c r="F3" s="83"/>
      <c r="G3" s="83"/>
      <c r="H3" s="83"/>
      <c r="I3" s="8"/>
      <c r="K3" s="87"/>
      <c r="L3" s="87"/>
      <c r="M3" s="87"/>
      <c r="N3" s="87"/>
      <c r="O3" s="87"/>
      <c r="P3" s="87"/>
      <c r="Q3" s="87"/>
    </row>
    <row r="4" spans="1:17" ht="24.6" customHeight="1" x14ac:dyDescent="0.3">
      <c r="A4" s="4">
        <v>1</v>
      </c>
      <c r="B4" s="84" t="s">
        <v>18</v>
      </c>
      <c r="C4" s="84"/>
      <c r="D4" s="84"/>
      <c r="E4" s="84"/>
      <c r="F4" s="84"/>
      <c r="G4" s="1" t="s">
        <v>19</v>
      </c>
      <c r="H4" s="7" t="s">
        <v>20</v>
      </c>
      <c r="I4" s="7" t="s">
        <v>20</v>
      </c>
      <c r="K4" s="87"/>
      <c r="L4" s="87"/>
      <c r="M4" s="87"/>
      <c r="N4" s="87"/>
      <c r="O4" s="87"/>
      <c r="P4" s="87"/>
      <c r="Q4" s="87"/>
    </row>
    <row r="5" spans="1:17" ht="24.6" customHeight="1" x14ac:dyDescent="0.3">
      <c r="A5" s="4">
        <v>2</v>
      </c>
      <c r="B5" s="84" t="s">
        <v>21</v>
      </c>
      <c r="C5" s="84"/>
      <c r="D5" s="84"/>
      <c r="E5" s="84"/>
      <c r="F5" s="84"/>
      <c r="G5" s="1" t="s">
        <v>19</v>
      </c>
      <c r="H5" s="7" t="s">
        <v>20</v>
      </c>
      <c r="I5" s="7" t="s">
        <v>20</v>
      </c>
      <c r="K5" s="87"/>
      <c r="L5" s="87"/>
      <c r="M5" s="87"/>
      <c r="N5" s="87"/>
      <c r="O5" s="87"/>
      <c r="P5" s="87"/>
      <c r="Q5" s="87"/>
    </row>
    <row r="6" spans="1:17" ht="24.6" customHeight="1" x14ac:dyDescent="0.3">
      <c r="A6" s="83" t="s">
        <v>22</v>
      </c>
      <c r="B6" s="83"/>
      <c r="C6" s="83"/>
      <c r="D6" s="83"/>
      <c r="E6" s="83"/>
      <c r="F6" s="83"/>
      <c r="G6" s="83"/>
      <c r="H6" s="83"/>
      <c r="I6" s="8"/>
      <c r="K6" s="87"/>
      <c r="L6" s="87"/>
      <c r="M6" s="87"/>
      <c r="N6" s="87"/>
      <c r="O6" s="87"/>
      <c r="P6" s="87"/>
      <c r="Q6" s="87"/>
    </row>
    <row r="7" spans="1:17" ht="45.6" customHeight="1" x14ac:dyDescent="0.3">
      <c r="A7" s="4">
        <v>3</v>
      </c>
      <c r="B7" s="84" t="s">
        <v>23</v>
      </c>
      <c r="C7" s="84"/>
      <c r="D7" s="84"/>
      <c r="E7" s="3" t="s">
        <v>24</v>
      </c>
      <c r="F7" s="1" t="s">
        <v>25</v>
      </c>
      <c r="G7" s="1" t="s">
        <v>19</v>
      </c>
      <c r="H7" s="2">
        <v>50000</v>
      </c>
      <c r="I7" s="2">
        <v>100000</v>
      </c>
      <c r="K7" s="87"/>
      <c r="L7" s="87"/>
      <c r="M7" s="87"/>
      <c r="N7" s="87"/>
      <c r="O7" s="87"/>
      <c r="P7" s="87"/>
      <c r="Q7" s="87"/>
    </row>
    <row r="8" spans="1:17" ht="45.6" customHeight="1" x14ac:dyDescent="0.3">
      <c r="A8" s="4">
        <v>4</v>
      </c>
      <c r="B8" s="84" t="s">
        <v>2</v>
      </c>
      <c r="C8" s="84"/>
      <c r="D8" s="84"/>
      <c r="E8" s="5" t="s">
        <v>26</v>
      </c>
      <c r="F8" s="1" t="s">
        <v>27</v>
      </c>
      <c r="G8" s="1" t="s">
        <v>19</v>
      </c>
      <c r="H8" s="2">
        <v>180000</v>
      </c>
      <c r="I8" s="2">
        <v>200000</v>
      </c>
      <c r="K8" s="87"/>
      <c r="L8" s="87"/>
      <c r="M8" s="87"/>
      <c r="N8" s="87"/>
      <c r="O8" s="87"/>
      <c r="P8" s="87"/>
      <c r="Q8" s="87"/>
    </row>
    <row r="9" spans="1:17" ht="45.6" customHeight="1" x14ac:dyDescent="0.3">
      <c r="A9" s="4">
        <v>5</v>
      </c>
      <c r="B9" s="84" t="s">
        <v>0</v>
      </c>
      <c r="C9" s="84"/>
      <c r="D9" s="84"/>
      <c r="E9" s="5" t="s">
        <v>28</v>
      </c>
      <c r="F9" s="1" t="s">
        <v>29</v>
      </c>
      <c r="G9" s="1" t="s">
        <v>19</v>
      </c>
      <c r="H9" s="2">
        <v>400000</v>
      </c>
      <c r="I9" s="2">
        <v>500000</v>
      </c>
      <c r="K9" s="87"/>
      <c r="L9" s="87"/>
      <c r="M9" s="87"/>
      <c r="N9" s="87"/>
      <c r="O9" s="87"/>
      <c r="P9" s="87"/>
      <c r="Q9" s="87"/>
    </row>
    <row r="10" spans="1:17" ht="45.6" customHeight="1" x14ac:dyDescent="0.3">
      <c r="A10" s="4">
        <v>6</v>
      </c>
      <c r="B10" s="84" t="s">
        <v>30</v>
      </c>
      <c r="C10" s="84"/>
      <c r="D10" s="84"/>
      <c r="E10" s="3" t="s">
        <v>31</v>
      </c>
      <c r="F10" s="1" t="s">
        <v>27</v>
      </c>
      <c r="G10" s="1" t="s">
        <v>19</v>
      </c>
      <c r="H10" s="2">
        <v>60000</v>
      </c>
      <c r="I10" s="2">
        <v>100000</v>
      </c>
      <c r="K10" s="87"/>
      <c r="L10" s="87"/>
      <c r="M10" s="87"/>
      <c r="N10" s="87"/>
      <c r="O10" s="87"/>
      <c r="P10" s="87"/>
      <c r="Q10" s="87"/>
    </row>
    <row r="11" spans="1:17" ht="24.6" customHeight="1" x14ac:dyDescent="0.3">
      <c r="A11" s="83" t="s">
        <v>32</v>
      </c>
      <c r="B11" s="83"/>
      <c r="C11" s="83"/>
      <c r="D11" s="83"/>
      <c r="E11" s="83"/>
      <c r="F11" s="83"/>
      <c r="G11" s="83"/>
      <c r="H11" s="83"/>
      <c r="I11" s="8"/>
      <c r="K11" s="87"/>
      <c r="L11" s="87"/>
      <c r="M11" s="87"/>
      <c r="N11" s="87"/>
      <c r="O11" s="87"/>
      <c r="P11" s="87"/>
      <c r="Q11" s="87"/>
    </row>
    <row r="12" spans="1:17" ht="24.6" customHeight="1" x14ac:dyDescent="0.3">
      <c r="A12" s="4">
        <v>7</v>
      </c>
      <c r="B12" s="84" t="s">
        <v>33</v>
      </c>
      <c r="C12" s="84"/>
      <c r="D12" s="84"/>
      <c r="E12" s="84"/>
      <c r="F12" s="84"/>
      <c r="G12" s="1" t="s">
        <v>19</v>
      </c>
      <c r="H12" s="2">
        <v>30000</v>
      </c>
      <c r="I12" s="2">
        <v>50000</v>
      </c>
      <c r="K12" s="87"/>
      <c r="L12" s="87"/>
      <c r="M12" s="87"/>
      <c r="N12" s="87"/>
      <c r="O12" s="87"/>
      <c r="P12" s="87"/>
      <c r="Q12" s="87"/>
    </row>
    <row r="13" spans="1:17" ht="24.6" customHeight="1" x14ac:dyDescent="0.3">
      <c r="A13" s="4">
        <v>8</v>
      </c>
      <c r="B13" s="84" t="s">
        <v>34</v>
      </c>
      <c r="C13" s="84"/>
      <c r="D13" s="84"/>
      <c r="E13" s="84"/>
      <c r="F13" s="84"/>
      <c r="G13" s="1" t="s">
        <v>19</v>
      </c>
      <c r="H13" s="2">
        <v>30000</v>
      </c>
      <c r="I13" s="2">
        <v>50000</v>
      </c>
    </row>
    <row r="14" spans="1:17" ht="24.6" customHeight="1" x14ac:dyDescent="0.3">
      <c r="A14" s="4">
        <v>9</v>
      </c>
      <c r="B14" s="84" t="s">
        <v>35</v>
      </c>
      <c r="C14" s="84"/>
      <c r="D14" s="84"/>
      <c r="E14" s="84"/>
      <c r="F14" s="84"/>
      <c r="G14" s="1" t="s">
        <v>19</v>
      </c>
      <c r="H14" s="2">
        <v>100000</v>
      </c>
      <c r="I14" s="2">
        <v>120000</v>
      </c>
    </row>
    <row r="15" spans="1:17" ht="24.6" customHeight="1" x14ac:dyDescent="0.3">
      <c r="A15" s="4">
        <v>10</v>
      </c>
      <c r="B15" s="84" t="s">
        <v>36</v>
      </c>
      <c r="C15" s="84"/>
      <c r="D15" s="84"/>
      <c r="E15" s="84"/>
      <c r="F15" s="84"/>
      <c r="G15" s="1" t="s">
        <v>19</v>
      </c>
      <c r="H15" s="2">
        <v>150000</v>
      </c>
      <c r="I15" s="2">
        <v>300000</v>
      </c>
    </row>
    <row r="16" spans="1:17" ht="24.6" customHeight="1" x14ac:dyDescent="0.3">
      <c r="A16" s="83" t="s">
        <v>37</v>
      </c>
      <c r="B16" s="83"/>
      <c r="C16" s="83"/>
      <c r="D16" s="83"/>
      <c r="E16" s="83"/>
      <c r="F16" s="83"/>
      <c r="G16" s="83"/>
      <c r="H16" s="83"/>
      <c r="I16" s="8"/>
    </row>
    <row r="17" spans="1:9" ht="24.6" customHeight="1" x14ac:dyDescent="0.3">
      <c r="A17" s="4">
        <v>11</v>
      </c>
      <c r="B17" s="84" t="s">
        <v>38</v>
      </c>
      <c r="C17" s="84"/>
      <c r="D17" s="84"/>
      <c r="E17" s="84"/>
      <c r="F17" s="84"/>
      <c r="G17" s="1" t="s">
        <v>19</v>
      </c>
      <c r="H17" s="7" t="s">
        <v>39</v>
      </c>
      <c r="I17" s="7" t="s">
        <v>39</v>
      </c>
    </row>
    <row r="18" spans="1:9" ht="24.6" customHeight="1" x14ac:dyDescent="0.3"/>
    <row r="19" spans="1:9" ht="24.6" customHeight="1" x14ac:dyDescent="0.3"/>
    <row r="20" spans="1:9" ht="24.6" customHeight="1" x14ac:dyDescent="0.3"/>
    <row r="21" spans="1:9" ht="24.6" customHeight="1" x14ac:dyDescent="0.3"/>
    <row r="22" spans="1:9" ht="24.6" customHeight="1" x14ac:dyDescent="0.3"/>
    <row r="23" spans="1:9" ht="24.6" customHeight="1" x14ac:dyDescent="0.3"/>
    <row r="24" spans="1:9" ht="24.6" customHeight="1" x14ac:dyDescent="0.3"/>
    <row r="25" spans="1:9" ht="24.6" customHeight="1" x14ac:dyDescent="0.3"/>
    <row r="26" spans="1:9" ht="24.6" customHeight="1" x14ac:dyDescent="0.3"/>
    <row r="27" spans="1:9" ht="24.6" customHeight="1" x14ac:dyDescent="0.3"/>
    <row r="28" spans="1:9" ht="24.6" customHeight="1" x14ac:dyDescent="0.3"/>
    <row r="29" spans="1:9" ht="24.6" customHeight="1" x14ac:dyDescent="0.3"/>
    <row r="30" spans="1:9" ht="24.6" customHeight="1" x14ac:dyDescent="0.3"/>
    <row r="31" spans="1:9" ht="24.6" customHeight="1" x14ac:dyDescent="0.3"/>
    <row r="32" spans="1:9" ht="24.6" customHeight="1" x14ac:dyDescent="0.3"/>
    <row r="33" ht="24.6" customHeight="1" x14ac:dyDescent="0.3"/>
    <row r="34" ht="24.6" customHeight="1" x14ac:dyDescent="0.3"/>
    <row r="35" ht="24.6" customHeight="1" x14ac:dyDescent="0.3"/>
    <row r="36" ht="24.6" customHeight="1" x14ac:dyDescent="0.3"/>
    <row r="37" ht="24.6" customHeight="1" x14ac:dyDescent="0.3"/>
    <row r="38" ht="24.6" customHeight="1" x14ac:dyDescent="0.3"/>
    <row r="39" ht="24.6" customHeight="1" x14ac:dyDescent="0.3"/>
    <row r="40" ht="24.6" customHeight="1" x14ac:dyDescent="0.3"/>
    <row r="41" ht="24.6" customHeight="1" x14ac:dyDescent="0.3"/>
    <row r="42" ht="24.6" customHeight="1" x14ac:dyDescent="0.3"/>
    <row r="43" ht="24.6" customHeight="1" x14ac:dyDescent="0.3"/>
    <row r="44" ht="24.6" customHeight="1" x14ac:dyDescent="0.3"/>
    <row r="45" ht="24.6" customHeight="1" x14ac:dyDescent="0.3"/>
    <row r="46" ht="24.6" customHeight="1" x14ac:dyDescent="0.3"/>
    <row r="47" ht="24.6" customHeight="1" x14ac:dyDescent="0.3"/>
    <row r="48" ht="24.6" customHeight="1" x14ac:dyDescent="0.3"/>
    <row r="49" ht="24.6" customHeight="1" x14ac:dyDescent="0.3"/>
    <row r="50" ht="24.6" customHeight="1" x14ac:dyDescent="0.3"/>
    <row r="51" ht="24.6" customHeight="1" x14ac:dyDescent="0.3"/>
    <row r="52" ht="24.6" customHeight="1" x14ac:dyDescent="0.3"/>
    <row r="53" ht="24.6" customHeight="1" x14ac:dyDescent="0.3"/>
    <row r="54" ht="24.6" customHeight="1" x14ac:dyDescent="0.3"/>
    <row r="55" ht="24.6" customHeight="1" x14ac:dyDescent="0.3"/>
    <row r="56" ht="24.6" customHeight="1" x14ac:dyDescent="0.3"/>
    <row r="57" ht="24.6" customHeight="1" x14ac:dyDescent="0.3"/>
  </sheetData>
  <mergeCells count="21">
    <mergeCell ref="K2:N12"/>
    <mergeCell ref="O2:Q12"/>
    <mergeCell ref="O1:Q1"/>
    <mergeCell ref="K1:N1"/>
    <mergeCell ref="B8:D8"/>
    <mergeCell ref="B9:D9"/>
    <mergeCell ref="B10:D10"/>
    <mergeCell ref="B7:D7"/>
    <mergeCell ref="A3:H3"/>
    <mergeCell ref="B2:G2"/>
    <mergeCell ref="A1:H1"/>
    <mergeCell ref="B12:F12"/>
    <mergeCell ref="B13:F13"/>
    <mergeCell ref="A11:H11"/>
    <mergeCell ref="A16:H16"/>
    <mergeCell ref="B17:F17"/>
    <mergeCell ref="B5:F5"/>
    <mergeCell ref="B4:F4"/>
    <mergeCell ref="A6:H6"/>
    <mergeCell ref="B14:F14"/>
    <mergeCell ref="B15:F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28"/>
  <sheetViews>
    <sheetView tabSelected="1" workbookViewId="0">
      <pane xSplit="1" ySplit="4" topLeftCell="B5" activePane="bottomRight" state="frozen"/>
      <selection pane="topRight"/>
      <selection pane="bottomLeft"/>
      <selection pane="bottomRight" activeCell="G33" sqref="G33"/>
    </sheetView>
  </sheetViews>
  <sheetFormatPr defaultColWidth="14" defaultRowHeight="13.8" x14ac:dyDescent="0.3"/>
  <cols>
    <col min="1" max="1" width="14" customWidth="1"/>
    <col min="2" max="2" width="22" customWidth="1"/>
    <col min="3" max="3" width="29" customWidth="1"/>
    <col min="4" max="5" width="20" customWidth="1"/>
    <col min="6" max="6" width="27" customWidth="1"/>
    <col min="7" max="7" width="17.21875" customWidth="1"/>
  </cols>
  <sheetData>
    <row r="1" spans="1:7" ht="29.4" customHeight="1" x14ac:dyDescent="0.3">
      <c r="A1" s="86" t="s">
        <v>3</v>
      </c>
      <c r="B1" s="86"/>
      <c r="C1" s="86"/>
      <c r="D1" s="86"/>
      <c r="E1" s="86"/>
      <c r="F1" s="86"/>
    </row>
    <row r="2" spans="1:7" ht="29.4" customHeight="1" x14ac:dyDescent="0.3">
      <c r="A2" s="91" t="s">
        <v>11</v>
      </c>
      <c r="B2" s="92" t="s">
        <v>40</v>
      </c>
      <c r="C2" s="92"/>
      <c r="D2" s="92"/>
      <c r="E2" s="92"/>
      <c r="F2" s="91" t="s">
        <v>13</v>
      </c>
    </row>
    <row r="3" spans="1:7" ht="29.4" customHeight="1" x14ac:dyDescent="0.3">
      <c r="A3" s="91"/>
      <c r="B3" s="14" t="s">
        <v>41</v>
      </c>
      <c r="C3" s="14" t="s">
        <v>42</v>
      </c>
      <c r="D3" s="14" t="s">
        <v>43</v>
      </c>
      <c r="E3" s="14" t="s">
        <v>44</v>
      </c>
      <c r="F3" s="91"/>
    </row>
    <row r="4" spans="1:7" ht="29.4" customHeight="1" x14ac:dyDescent="0.3">
      <c r="A4" s="91"/>
      <c r="B4" s="11">
        <f>SUM(F9:F12,F14:F19,B21)</f>
        <v>2870000</v>
      </c>
      <c r="C4" s="11">
        <f>SUM(F9:F12,F14:F19,C21)</f>
        <v>2970000</v>
      </c>
      <c r="D4" s="11">
        <f>SUM(F9:F19,D21)</f>
        <v>3270000</v>
      </c>
      <c r="E4" s="11">
        <f>SUM(F9:F12,F14:F19,E21)</f>
        <v>3370000</v>
      </c>
      <c r="F4" s="91"/>
    </row>
    <row r="5" spans="1:7" ht="29.4" customHeight="1" x14ac:dyDescent="0.3">
      <c r="A5" s="83" t="s">
        <v>17</v>
      </c>
      <c r="B5" s="83"/>
      <c r="C5" s="83"/>
      <c r="D5" s="83"/>
      <c r="E5" s="83"/>
      <c r="F5" s="83"/>
    </row>
    <row r="6" spans="1:7" ht="29.4" customHeight="1" x14ac:dyDescent="0.3">
      <c r="A6" s="4">
        <v>1</v>
      </c>
      <c r="B6" s="84" t="s">
        <v>18</v>
      </c>
      <c r="C6" s="84"/>
      <c r="D6" s="84"/>
      <c r="E6" s="1" t="s">
        <v>19</v>
      </c>
      <c r="F6" s="7" t="s">
        <v>20</v>
      </c>
      <c r="G6" t="s">
        <v>340</v>
      </c>
    </row>
    <row r="7" spans="1:7" ht="29.4" customHeight="1" x14ac:dyDescent="0.3">
      <c r="A7" s="4">
        <v>2</v>
      </c>
      <c r="B7" s="84" t="s">
        <v>21</v>
      </c>
      <c r="C7" s="84"/>
      <c r="D7" s="84"/>
      <c r="E7" s="1" t="s">
        <v>19</v>
      </c>
      <c r="F7" s="7" t="s">
        <v>20</v>
      </c>
    </row>
    <row r="8" spans="1:7" ht="29.4" customHeight="1" x14ac:dyDescent="0.3">
      <c r="A8" s="83" t="s">
        <v>22</v>
      </c>
      <c r="B8" s="83"/>
      <c r="C8" s="83"/>
      <c r="D8" s="83"/>
      <c r="E8" s="83"/>
      <c r="F8" s="83"/>
    </row>
    <row r="9" spans="1:7" ht="29.4" customHeight="1" x14ac:dyDescent="0.3">
      <c r="A9" s="4">
        <v>3</v>
      </c>
      <c r="B9" s="84" t="s">
        <v>45</v>
      </c>
      <c r="C9" s="95"/>
      <c r="D9" s="1" t="s">
        <v>25</v>
      </c>
      <c r="E9" s="1" t="s">
        <v>19</v>
      </c>
      <c r="F9" s="2">
        <v>100000</v>
      </c>
    </row>
    <row r="10" spans="1:7" ht="29.4" customHeight="1" x14ac:dyDescent="0.3">
      <c r="A10" s="4">
        <v>4</v>
      </c>
      <c r="B10" s="84" t="s">
        <v>46</v>
      </c>
      <c r="C10" s="95"/>
      <c r="D10" s="1" t="s">
        <v>27</v>
      </c>
      <c r="E10" s="1" t="s">
        <v>19</v>
      </c>
      <c r="F10" s="2">
        <v>200000</v>
      </c>
    </row>
    <row r="11" spans="1:7" ht="29.4" customHeight="1" x14ac:dyDescent="0.3">
      <c r="A11" s="4">
        <v>5</v>
      </c>
      <c r="B11" s="84" t="s">
        <v>47</v>
      </c>
      <c r="C11" s="95"/>
      <c r="D11" s="1" t="s">
        <v>29</v>
      </c>
      <c r="E11" s="1" t="s">
        <v>19</v>
      </c>
      <c r="F11" s="2">
        <v>500000</v>
      </c>
    </row>
    <row r="12" spans="1:7" ht="29.4" customHeight="1" x14ac:dyDescent="0.3">
      <c r="A12" s="4">
        <v>6</v>
      </c>
      <c r="B12" s="84" t="s">
        <v>48</v>
      </c>
      <c r="C12" s="95"/>
      <c r="D12" s="1" t="s">
        <v>27</v>
      </c>
      <c r="E12" s="1" t="s">
        <v>19</v>
      </c>
      <c r="F12" s="2">
        <v>100000</v>
      </c>
    </row>
    <row r="13" spans="1:7" ht="29.4" customHeight="1" x14ac:dyDescent="0.3">
      <c r="A13" s="83" t="s">
        <v>49</v>
      </c>
      <c r="B13" s="83"/>
      <c r="C13" s="83"/>
      <c r="D13" s="83"/>
      <c r="E13" s="83"/>
      <c r="F13" s="83"/>
    </row>
    <row r="14" spans="1:7" ht="29.4" customHeight="1" x14ac:dyDescent="0.3">
      <c r="A14" s="4">
        <v>7</v>
      </c>
      <c r="B14" s="93" t="s">
        <v>33</v>
      </c>
      <c r="C14" s="93"/>
      <c r="D14" s="90" t="s">
        <v>50</v>
      </c>
      <c r="E14" s="1" t="s">
        <v>19</v>
      </c>
      <c r="F14" s="2">
        <v>50000</v>
      </c>
    </row>
    <row r="15" spans="1:7" ht="29.4" customHeight="1" x14ac:dyDescent="0.3">
      <c r="A15" s="4">
        <v>8</v>
      </c>
      <c r="B15" s="84" t="s">
        <v>34</v>
      </c>
      <c r="C15" s="95"/>
      <c r="D15" s="90"/>
      <c r="E15" s="1" t="s">
        <v>19</v>
      </c>
      <c r="F15" s="2">
        <v>50000</v>
      </c>
    </row>
    <row r="16" spans="1:7" ht="29.4" customHeight="1" x14ac:dyDescent="0.3">
      <c r="A16" s="4">
        <v>9</v>
      </c>
      <c r="B16" s="84" t="s">
        <v>35</v>
      </c>
      <c r="C16" s="95"/>
      <c r="D16" s="90"/>
      <c r="E16" s="1" t="s">
        <v>19</v>
      </c>
      <c r="F16" s="2">
        <v>120000</v>
      </c>
    </row>
    <row r="17" spans="1:6" ht="29.4" customHeight="1" x14ac:dyDescent="0.3">
      <c r="A17" s="4">
        <v>10</v>
      </c>
      <c r="B17" s="84" t="s">
        <v>36</v>
      </c>
      <c r="C17" s="95"/>
      <c r="D17" s="90"/>
      <c r="E17" s="1" t="s">
        <v>19</v>
      </c>
      <c r="F17" s="2">
        <v>300000</v>
      </c>
    </row>
    <row r="18" spans="1:6" ht="29.4" customHeight="1" x14ac:dyDescent="0.3">
      <c r="A18" s="4">
        <v>11</v>
      </c>
      <c r="B18" s="94" t="s">
        <v>51</v>
      </c>
      <c r="C18" s="94"/>
      <c r="D18" s="90" t="s">
        <v>52</v>
      </c>
      <c r="E18" s="1" t="s">
        <v>19</v>
      </c>
      <c r="F18" s="2">
        <v>250000</v>
      </c>
    </row>
    <row r="19" spans="1:6" ht="29.4" customHeight="1" x14ac:dyDescent="0.3">
      <c r="A19" s="4">
        <v>12</v>
      </c>
      <c r="B19" s="94" t="s">
        <v>53</v>
      </c>
      <c r="C19" s="94"/>
      <c r="D19" s="90"/>
      <c r="E19" s="1" t="s">
        <v>19</v>
      </c>
      <c r="F19" s="2">
        <v>700000</v>
      </c>
    </row>
    <row r="20" spans="1:6" ht="29.4" customHeight="1" x14ac:dyDescent="0.3">
      <c r="A20" s="83" t="s">
        <v>54</v>
      </c>
      <c r="B20" s="83"/>
      <c r="C20" s="83"/>
      <c r="D20" s="83"/>
      <c r="E20" s="83"/>
      <c r="F20" s="83"/>
    </row>
    <row r="21" spans="1:6" ht="29.4" customHeight="1" x14ac:dyDescent="0.3">
      <c r="A21" s="4">
        <v>17</v>
      </c>
      <c r="B21" s="11">
        <v>500000</v>
      </c>
      <c r="C21" s="11">
        <v>600000</v>
      </c>
      <c r="D21" s="11">
        <v>900000</v>
      </c>
      <c r="E21" s="11">
        <v>1000000</v>
      </c>
      <c r="F21" s="12" t="s">
        <v>55</v>
      </c>
    </row>
    <row r="22" spans="1:6" ht="29.4" customHeight="1" x14ac:dyDescent="0.3">
      <c r="A22" s="83" t="s">
        <v>56</v>
      </c>
      <c r="B22" s="83"/>
      <c r="C22" s="83"/>
      <c r="D22" s="83"/>
      <c r="E22" s="83"/>
      <c r="F22" s="83"/>
    </row>
    <row r="23" spans="1:6" ht="29.4" customHeight="1" x14ac:dyDescent="0.3">
      <c r="A23" s="4">
        <v>18</v>
      </c>
      <c r="B23" s="84" t="s">
        <v>38</v>
      </c>
      <c r="C23" s="84"/>
      <c r="D23" s="84"/>
      <c r="E23" s="1" t="s">
        <v>19</v>
      </c>
      <c r="F23" s="7" t="s">
        <v>39</v>
      </c>
    </row>
    <row r="26" spans="1:6" x14ac:dyDescent="0.3">
      <c r="F26" s="13">
        <f>SUM(F14:F19,F9:F10,F12,400000)</f>
        <v>2270000</v>
      </c>
    </row>
    <row r="27" spans="1:6" x14ac:dyDescent="0.3">
      <c r="F27" s="13" t="s">
        <v>57</v>
      </c>
    </row>
    <row r="28" spans="1:6" x14ac:dyDescent="0.3">
      <c r="F28" s="15" t="s">
        <v>58</v>
      </c>
    </row>
  </sheetData>
  <mergeCells count="24">
    <mergeCell ref="A1:F1"/>
    <mergeCell ref="B2:E2"/>
    <mergeCell ref="A22:F22"/>
    <mergeCell ref="B14:C14"/>
    <mergeCell ref="B19:C19"/>
    <mergeCell ref="B18:C18"/>
    <mergeCell ref="B15:C15"/>
    <mergeCell ref="B16:C16"/>
    <mergeCell ref="B17:C17"/>
    <mergeCell ref="B12:C12"/>
    <mergeCell ref="B11:C11"/>
    <mergeCell ref="B10:C10"/>
    <mergeCell ref="B9:C9"/>
    <mergeCell ref="A2:A4"/>
    <mergeCell ref="F2:F4"/>
    <mergeCell ref="A20:F20"/>
    <mergeCell ref="A5:F5"/>
    <mergeCell ref="A8:F8"/>
    <mergeCell ref="A13:F13"/>
    <mergeCell ref="B7:D7"/>
    <mergeCell ref="B6:D6"/>
    <mergeCell ref="B23:D23"/>
    <mergeCell ref="D18:D19"/>
    <mergeCell ref="D14:D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88"/>
  <sheetViews>
    <sheetView topLeftCell="A7" workbookViewId="0">
      <selection activeCell="I15" sqref="I15"/>
    </sheetView>
  </sheetViews>
  <sheetFormatPr defaultColWidth="14" defaultRowHeight="13.8" x14ac:dyDescent="0.3"/>
  <cols>
    <col min="1" max="1" width="10" customWidth="1"/>
    <col min="2" max="2" width="19" customWidth="1"/>
    <col min="3" max="3" width="25" customWidth="1"/>
    <col min="4" max="4" width="20" customWidth="1"/>
    <col min="5" max="5" width="25" customWidth="1"/>
    <col min="6" max="6" width="19" customWidth="1"/>
    <col min="7" max="7" width="20" customWidth="1"/>
  </cols>
  <sheetData>
    <row r="1" spans="1:7" ht="18" x14ac:dyDescent="0.3">
      <c r="A1" s="86" t="s">
        <v>4</v>
      </c>
      <c r="B1" s="86"/>
      <c r="C1" s="86"/>
      <c r="D1" s="86"/>
      <c r="E1" s="86"/>
      <c r="F1" s="86"/>
      <c r="G1" s="86"/>
    </row>
    <row r="2" spans="1:7" ht="28.2" customHeight="1" x14ac:dyDescent="0.3">
      <c r="A2" s="9" t="s">
        <v>11</v>
      </c>
      <c r="B2" s="85" t="s">
        <v>5</v>
      </c>
      <c r="C2" s="85"/>
      <c r="D2" s="85"/>
      <c r="E2" s="85"/>
      <c r="F2" s="85"/>
      <c r="G2" s="9" t="s">
        <v>13</v>
      </c>
    </row>
    <row r="3" spans="1:7" ht="28.2" customHeight="1" x14ac:dyDescent="0.3">
      <c r="A3" s="83" t="s">
        <v>17</v>
      </c>
      <c r="B3" s="83"/>
      <c r="C3" s="83"/>
      <c r="D3" s="83"/>
      <c r="E3" s="83"/>
      <c r="F3" s="83"/>
      <c r="G3" s="83"/>
    </row>
    <row r="4" spans="1:7" ht="28.2" customHeight="1" x14ac:dyDescent="0.3">
      <c r="A4" s="4">
        <v>1</v>
      </c>
      <c r="B4" s="84" t="s">
        <v>18</v>
      </c>
      <c r="C4" s="84"/>
      <c r="D4" s="84"/>
      <c r="E4" s="84"/>
      <c r="F4" s="1" t="s">
        <v>19</v>
      </c>
      <c r="G4" s="2" t="s">
        <v>20</v>
      </c>
    </row>
    <row r="5" spans="1:7" ht="28.2" customHeight="1" x14ac:dyDescent="0.3">
      <c r="A5" s="4">
        <v>2</v>
      </c>
      <c r="B5" s="84" t="s">
        <v>21</v>
      </c>
      <c r="C5" s="84"/>
      <c r="D5" s="84"/>
      <c r="E5" s="84"/>
      <c r="F5" s="1" t="s">
        <v>19</v>
      </c>
      <c r="G5" s="2" t="s">
        <v>20</v>
      </c>
    </row>
    <row r="6" spans="1:7" ht="28.2" customHeight="1" x14ac:dyDescent="0.3">
      <c r="A6" s="83" t="s">
        <v>49</v>
      </c>
      <c r="B6" s="83"/>
      <c r="C6" s="83"/>
      <c r="D6" s="83"/>
      <c r="E6" s="83"/>
      <c r="F6" s="83"/>
      <c r="G6" s="83"/>
    </row>
    <row r="7" spans="1:7" ht="28.2" customHeight="1" x14ac:dyDescent="0.3">
      <c r="A7" s="8"/>
      <c r="B7" s="99" t="s">
        <v>59</v>
      </c>
      <c r="C7" s="99"/>
      <c r="D7" s="100" t="s">
        <v>60</v>
      </c>
      <c r="E7" s="100"/>
      <c r="F7" s="8"/>
      <c r="G7" s="8"/>
    </row>
    <row r="8" spans="1:7" ht="28.2" customHeight="1" x14ac:dyDescent="0.3">
      <c r="A8" s="4">
        <v>3</v>
      </c>
      <c r="B8" s="84" t="s">
        <v>33</v>
      </c>
      <c r="C8" s="84"/>
      <c r="D8" s="84"/>
      <c r="E8" s="84"/>
      <c r="F8" s="1" t="s">
        <v>19</v>
      </c>
      <c r="G8" s="2">
        <v>50000</v>
      </c>
    </row>
    <row r="9" spans="1:7" ht="28.2" customHeight="1" x14ac:dyDescent="0.3">
      <c r="A9" s="4">
        <v>4</v>
      </c>
      <c r="B9" s="84" t="s">
        <v>34</v>
      </c>
      <c r="C9" s="84"/>
      <c r="D9" s="84"/>
      <c r="E9" s="84"/>
      <c r="F9" s="1" t="s">
        <v>19</v>
      </c>
      <c r="G9" s="2">
        <v>50000</v>
      </c>
    </row>
    <row r="10" spans="1:7" ht="28.2" customHeight="1" x14ac:dyDescent="0.3">
      <c r="A10" s="4">
        <v>5</v>
      </c>
      <c r="B10" s="84" t="s">
        <v>35</v>
      </c>
      <c r="C10" s="84"/>
      <c r="D10" s="84"/>
      <c r="E10" s="84"/>
      <c r="F10" s="1" t="s">
        <v>19</v>
      </c>
      <c r="G10" s="2">
        <v>120000</v>
      </c>
    </row>
    <row r="11" spans="1:7" ht="28.2" customHeight="1" x14ac:dyDescent="0.3">
      <c r="A11" s="4">
        <v>6</v>
      </c>
      <c r="B11" s="84" t="s">
        <v>36</v>
      </c>
      <c r="C11" s="84"/>
      <c r="D11" s="84"/>
      <c r="E11" s="84"/>
      <c r="F11" s="1" t="s">
        <v>19</v>
      </c>
      <c r="G11" s="2">
        <v>300000</v>
      </c>
    </row>
    <row r="12" spans="1:7" ht="28.2" customHeight="1" x14ac:dyDescent="0.3">
      <c r="A12" s="4">
        <v>7</v>
      </c>
      <c r="B12" s="97" t="s">
        <v>61</v>
      </c>
      <c r="C12" s="84"/>
      <c r="D12" s="84"/>
      <c r="E12" s="84"/>
      <c r="F12" s="1" t="s">
        <v>19</v>
      </c>
      <c r="G12" s="17">
        <v>450000</v>
      </c>
    </row>
    <row r="13" spans="1:7" ht="28.2" customHeight="1" x14ac:dyDescent="0.3">
      <c r="A13" s="4">
        <v>8</v>
      </c>
      <c r="B13" s="97" t="s">
        <v>62</v>
      </c>
      <c r="C13" s="97"/>
      <c r="D13" s="97"/>
      <c r="E13" s="97"/>
      <c r="F13" s="1" t="s">
        <v>19</v>
      </c>
      <c r="G13" s="17">
        <v>250000</v>
      </c>
    </row>
    <row r="14" spans="1:7" ht="28.2" customHeight="1" x14ac:dyDescent="0.3">
      <c r="A14" s="4">
        <v>9</v>
      </c>
      <c r="B14" s="97" t="s">
        <v>63</v>
      </c>
      <c r="C14" s="97"/>
      <c r="D14" s="97"/>
      <c r="E14" s="97"/>
      <c r="F14" s="1" t="s">
        <v>19</v>
      </c>
      <c r="G14" s="17">
        <v>500000</v>
      </c>
    </row>
    <row r="15" spans="1:7" ht="28.2" customHeight="1" x14ac:dyDescent="0.3">
      <c r="A15" s="4">
        <v>10</v>
      </c>
      <c r="B15" s="97" t="s">
        <v>64</v>
      </c>
      <c r="C15" s="97"/>
      <c r="D15" s="97"/>
      <c r="E15" s="97"/>
      <c r="F15" s="1" t="s">
        <v>19</v>
      </c>
      <c r="G15" s="18">
        <v>350000</v>
      </c>
    </row>
    <row r="16" spans="1:7" ht="28.2" customHeight="1" x14ac:dyDescent="0.3">
      <c r="A16" s="4">
        <v>11</v>
      </c>
      <c r="B16" s="97" t="s">
        <v>53</v>
      </c>
      <c r="C16" s="97"/>
      <c r="D16" s="97"/>
      <c r="E16" s="97"/>
      <c r="F16" s="1" t="s">
        <v>19</v>
      </c>
      <c r="G16" s="17">
        <v>700000</v>
      </c>
    </row>
    <row r="17" spans="1:9" ht="28.2" customHeight="1" x14ac:dyDescent="0.3">
      <c r="A17" s="4">
        <v>12</v>
      </c>
      <c r="B17" s="97" t="s">
        <v>65</v>
      </c>
      <c r="C17" s="97"/>
      <c r="D17" s="97"/>
      <c r="E17" s="97"/>
      <c r="F17" s="1" t="s">
        <v>19</v>
      </c>
      <c r="G17" s="18">
        <v>400000</v>
      </c>
    </row>
    <row r="18" spans="1:9" ht="28.2" customHeight="1" x14ac:dyDescent="0.3">
      <c r="A18" s="4">
        <v>13</v>
      </c>
      <c r="B18" s="96" t="s">
        <v>66</v>
      </c>
      <c r="C18" s="96"/>
      <c r="D18" s="96" t="s">
        <v>67</v>
      </c>
      <c r="E18" s="96"/>
      <c r="F18" s="1" t="s">
        <v>19</v>
      </c>
      <c r="G18" s="18">
        <v>350000</v>
      </c>
    </row>
    <row r="19" spans="1:9" ht="28.2" customHeight="1" x14ac:dyDescent="0.3">
      <c r="A19" s="4">
        <v>14</v>
      </c>
      <c r="B19" s="96" t="s">
        <v>68</v>
      </c>
      <c r="C19" s="96"/>
      <c r="D19" s="96" t="s">
        <v>69</v>
      </c>
      <c r="E19" s="96"/>
      <c r="F19" s="1" t="s">
        <v>19</v>
      </c>
      <c r="G19" s="18">
        <v>350000</v>
      </c>
    </row>
    <row r="20" spans="1:9" ht="28.2" customHeight="1" x14ac:dyDescent="0.3">
      <c r="A20" s="4">
        <v>15</v>
      </c>
      <c r="B20" s="96" t="s">
        <v>70</v>
      </c>
      <c r="C20" s="96"/>
      <c r="D20" s="96" t="s">
        <v>71</v>
      </c>
      <c r="E20" s="96"/>
      <c r="F20" s="1" t="s">
        <v>19</v>
      </c>
      <c r="G20" s="18">
        <v>350000</v>
      </c>
    </row>
    <row r="21" spans="1:9" ht="28.2" customHeight="1" x14ac:dyDescent="0.3">
      <c r="A21" s="4">
        <v>16</v>
      </c>
      <c r="B21" s="96" t="s">
        <v>72</v>
      </c>
      <c r="C21" s="96"/>
      <c r="D21" s="96" t="s">
        <v>73</v>
      </c>
      <c r="E21" s="96"/>
      <c r="F21" s="1" t="s">
        <v>19</v>
      </c>
      <c r="G21" s="18">
        <v>350000</v>
      </c>
    </row>
    <row r="22" spans="1:9" ht="28.2" customHeight="1" x14ac:dyDescent="0.3">
      <c r="A22" s="98" t="s">
        <v>74</v>
      </c>
      <c r="B22" s="98"/>
      <c r="C22" s="98"/>
      <c r="D22" s="98"/>
      <c r="E22" s="98"/>
      <c r="F22" s="98"/>
      <c r="G22" s="98"/>
    </row>
    <row r="23" spans="1:9" ht="28.2" customHeight="1" x14ac:dyDescent="0.3">
      <c r="A23" s="4">
        <v>17</v>
      </c>
      <c r="B23" s="84" t="s">
        <v>38</v>
      </c>
      <c r="C23" s="84"/>
      <c r="D23" s="84"/>
      <c r="E23" s="84"/>
      <c r="F23" s="1" t="s">
        <v>19</v>
      </c>
      <c r="G23" s="7" t="s">
        <v>39</v>
      </c>
    </row>
    <row r="24" spans="1:9" ht="23.4" x14ac:dyDescent="0.3">
      <c r="A24" s="16"/>
      <c r="B24" s="16"/>
      <c r="C24" s="16"/>
      <c r="D24" s="16"/>
      <c r="E24" s="16"/>
      <c r="F24" s="16"/>
      <c r="G24" s="16"/>
    </row>
    <row r="25" spans="1:9" ht="23.4" x14ac:dyDescent="0.3">
      <c r="A25" s="16"/>
      <c r="B25" s="16"/>
      <c r="C25" s="16"/>
      <c r="D25" s="16"/>
      <c r="E25" s="16"/>
      <c r="F25" s="16"/>
      <c r="G25" s="102">
        <f>SUM(G8:G21)</f>
        <v>4570000</v>
      </c>
      <c r="H25" s="102"/>
    </row>
    <row r="26" spans="1:9" ht="23.4" x14ac:dyDescent="0.3">
      <c r="A26" s="16"/>
      <c r="B26" s="16"/>
      <c r="C26" s="16"/>
      <c r="D26" s="16"/>
      <c r="E26" s="16"/>
      <c r="F26" s="16"/>
      <c r="G26" s="20" t="s">
        <v>75</v>
      </c>
      <c r="H26" s="21"/>
    </row>
    <row r="27" spans="1:9" ht="23.4" x14ac:dyDescent="0.3">
      <c r="A27" s="16"/>
      <c r="B27" s="16"/>
      <c r="C27" s="16"/>
      <c r="D27" s="16"/>
      <c r="E27" s="16"/>
      <c r="F27" s="16"/>
      <c r="G27" s="101">
        <v>3900000</v>
      </c>
      <c r="H27" s="101"/>
      <c r="I27" s="22">
        <v>3900000</v>
      </c>
    </row>
    <row r="28" spans="1:9" ht="23.4" x14ac:dyDescent="0.3">
      <c r="A28" s="16"/>
      <c r="B28" s="16"/>
      <c r="C28" s="16"/>
      <c r="D28" s="16"/>
      <c r="E28" s="16"/>
      <c r="F28" s="16"/>
      <c r="G28" s="16"/>
    </row>
    <row r="29" spans="1:9" ht="23.4" x14ac:dyDescent="0.3">
      <c r="A29" s="16"/>
      <c r="B29" s="16"/>
      <c r="C29" s="16"/>
      <c r="D29" s="16"/>
      <c r="E29" s="16"/>
      <c r="F29" s="16"/>
      <c r="G29" s="16"/>
    </row>
    <row r="30" spans="1:9" ht="23.4" x14ac:dyDescent="0.3">
      <c r="A30" s="16"/>
      <c r="B30" s="16"/>
      <c r="C30" s="16"/>
      <c r="D30" s="16"/>
      <c r="E30" s="16"/>
      <c r="F30" s="16"/>
      <c r="G30" s="16"/>
    </row>
    <row r="31" spans="1:9" ht="23.4" x14ac:dyDescent="0.3">
      <c r="A31" s="16"/>
      <c r="B31" s="16"/>
      <c r="C31" s="16"/>
      <c r="D31" s="16"/>
      <c r="E31" s="16"/>
      <c r="F31" s="16"/>
      <c r="G31" s="16"/>
    </row>
    <row r="32" spans="1:9" ht="23.4" x14ac:dyDescent="0.3">
      <c r="A32" s="16"/>
      <c r="B32" s="16"/>
      <c r="C32" s="16"/>
      <c r="D32" s="16"/>
      <c r="E32" s="16"/>
      <c r="F32" s="16"/>
      <c r="G32" s="16"/>
    </row>
    <row r="33" spans="1:7" ht="23.4" x14ac:dyDescent="0.3">
      <c r="A33" s="16"/>
      <c r="B33" s="16"/>
      <c r="C33" s="16"/>
      <c r="D33" s="16"/>
      <c r="E33" s="16"/>
      <c r="F33" s="16"/>
      <c r="G33" s="16"/>
    </row>
    <row r="34" spans="1:7" ht="23.4" x14ac:dyDescent="0.3">
      <c r="A34" s="16"/>
      <c r="B34" s="16"/>
      <c r="C34" s="16"/>
      <c r="D34" s="16"/>
      <c r="E34" s="16"/>
      <c r="F34" s="16"/>
      <c r="G34" s="16"/>
    </row>
    <row r="35" spans="1:7" ht="23.4" x14ac:dyDescent="0.3">
      <c r="A35" s="16"/>
      <c r="B35" s="16"/>
      <c r="C35" s="16"/>
      <c r="D35" s="16"/>
      <c r="E35" s="16"/>
      <c r="F35" s="16"/>
      <c r="G35" s="16"/>
    </row>
    <row r="36" spans="1:7" ht="23.4" x14ac:dyDescent="0.3">
      <c r="A36" s="16"/>
      <c r="B36" s="16"/>
      <c r="C36" s="16"/>
      <c r="D36" s="16"/>
      <c r="E36" s="16"/>
      <c r="F36" s="16"/>
      <c r="G36" s="16"/>
    </row>
    <row r="37" spans="1:7" ht="23.4" x14ac:dyDescent="0.3">
      <c r="A37" s="16"/>
      <c r="B37" s="16"/>
      <c r="C37" s="16"/>
      <c r="D37" s="16"/>
      <c r="E37" s="16"/>
      <c r="F37" s="16"/>
      <c r="G37" s="16"/>
    </row>
    <row r="38" spans="1:7" ht="23.4" x14ac:dyDescent="0.3">
      <c r="A38" s="16"/>
      <c r="B38" s="16"/>
      <c r="C38" s="16"/>
      <c r="D38" s="16"/>
      <c r="E38" s="16"/>
      <c r="F38" s="16"/>
      <c r="G38" s="16"/>
    </row>
    <row r="39" spans="1:7" ht="23.4" x14ac:dyDescent="0.3">
      <c r="A39" s="16"/>
      <c r="B39" s="16"/>
      <c r="C39" s="16"/>
      <c r="D39" s="16"/>
      <c r="E39" s="16"/>
      <c r="F39" s="16"/>
      <c r="G39" s="16"/>
    </row>
    <row r="40" spans="1:7" ht="23.4" x14ac:dyDescent="0.3">
      <c r="A40" s="16"/>
      <c r="B40" s="16"/>
      <c r="C40" s="16"/>
      <c r="D40" s="16"/>
      <c r="E40" s="16"/>
      <c r="F40" s="16"/>
      <c r="G40" s="16"/>
    </row>
    <row r="41" spans="1:7" ht="23.4" x14ac:dyDescent="0.3">
      <c r="A41" s="16"/>
      <c r="B41" s="16"/>
      <c r="C41" s="16"/>
      <c r="D41" s="16"/>
      <c r="E41" s="16"/>
      <c r="F41" s="16"/>
      <c r="G41" s="16"/>
    </row>
    <row r="42" spans="1:7" ht="23.4" x14ac:dyDescent="0.3">
      <c r="A42" s="16"/>
      <c r="B42" s="16"/>
      <c r="C42" s="16"/>
      <c r="D42" s="16"/>
      <c r="E42" s="16"/>
      <c r="F42" s="16"/>
      <c r="G42" s="16"/>
    </row>
    <row r="43" spans="1:7" ht="23.4" x14ac:dyDescent="0.3">
      <c r="A43" s="16"/>
      <c r="B43" s="16"/>
      <c r="C43" s="16"/>
      <c r="D43" s="16"/>
      <c r="E43" s="16"/>
      <c r="F43" s="16"/>
      <c r="G43" s="16"/>
    </row>
    <row r="44" spans="1:7" ht="23.4" x14ac:dyDescent="0.3">
      <c r="A44" s="16"/>
      <c r="B44" s="16"/>
      <c r="C44" s="16"/>
      <c r="D44" s="16"/>
      <c r="E44" s="16"/>
      <c r="F44" s="16"/>
      <c r="G44" s="16"/>
    </row>
    <row r="45" spans="1:7" ht="23.4" x14ac:dyDescent="0.3">
      <c r="A45" s="16"/>
      <c r="B45" s="16"/>
      <c r="C45" s="16"/>
      <c r="D45" s="16"/>
      <c r="E45" s="16"/>
      <c r="F45" s="16"/>
      <c r="G45" s="16"/>
    </row>
    <row r="46" spans="1:7" ht="23.4" x14ac:dyDescent="0.3">
      <c r="A46" s="16"/>
      <c r="B46" s="16"/>
      <c r="C46" s="16"/>
      <c r="D46" s="16"/>
      <c r="E46" s="16"/>
      <c r="F46" s="16"/>
      <c r="G46" s="16"/>
    </row>
    <row r="47" spans="1:7" ht="23.4" x14ac:dyDescent="0.3">
      <c r="A47" s="16"/>
      <c r="B47" s="16"/>
      <c r="C47" s="16"/>
      <c r="D47" s="16"/>
      <c r="E47" s="16"/>
      <c r="F47" s="16"/>
      <c r="G47" s="16"/>
    </row>
    <row r="48" spans="1:7" ht="23.4" x14ac:dyDescent="0.3">
      <c r="A48" s="16"/>
      <c r="B48" s="16"/>
      <c r="C48" s="16"/>
      <c r="D48" s="16"/>
      <c r="E48" s="16"/>
      <c r="F48" s="16"/>
      <c r="G48" s="16"/>
    </row>
    <row r="49" spans="1:7" ht="23.4" x14ac:dyDescent="0.3">
      <c r="A49" s="16"/>
      <c r="B49" s="16"/>
      <c r="C49" s="16"/>
      <c r="D49" s="16"/>
      <c r="E49" s="16"/>
      <c r="F49" s="16"/>
      <c r="G49" s="16"/>
    </row>
    <row r="50" spans="1:7" ht="23.4" x14ac:dyDescent="0.3">
      <c r="A50" s="16"/>
      <c r="B50" s="16"/>
      <c r="C50" s="16"/>
      <c r="D50" s="16"/>
      <c r="E50" s="16"/>
      <c r="F50" s="16"/>
      <c r="G50" s="16"/>
    </row>
    <row r="51" spans="1:7" ht="23.4" x14ac:dyDescent="0.3">
      <c r="A51" s="16"/>
      <c r="B51" s="16"/>
      <c r="C51" s="16"/>
      <c r="D51" s="16"/>
      <c r="E51" s="16"/>
      <c r="F51" s="16"/>
      <c r="G51" s="16"/>
    </row>
    <row r="52" spans="1:7" ht="23.4" x14ac:dyDescent="0.3">
      <c r="A52" s="16"/>
      <c r="B52" s="16"/>
      <c r="C52" s="16"/>
      <c r="D52" s="16"/>
      <c r="E52" s="16"/>
      <c r="F52" s="16"/>
      <c r="G52" s="16"/>
    </row>
    <row r="53" spans="1:7" ht="23.4" x14ac:dyDescent="0.3">
      <c r="A53" s="16"/>
      <c r="B53" s="16"/>
      <c r="C53" s="16"/>
      <c r="D53" s="16"/>
      <c r="E53" s="16"/>
      <c r="F53" s="16"/>
      <c r="G53" s="16"/>
    </row>
    <row r="54" spans="1:7" ht="23.4" x14ac:dyDescent="0.3">
      <c r="A54" s="16"/>
      <c r="B54" s="16"/>
      <c r="C54" s="16"/>
      <c r="D54" s="16"/>
      <c r="E54" s="16"/>
      <c r="F54" s="16"/>
      <c r="G54" s="16"/>
    </row>
    <row r="55" spans="1:7" ht="23.4" x14ac:dyDescent="0.3">
      <c r="A55" s="16"/>
      <c r="B55" s="16"/>
      <c r="C55" s="16"/>
      <c r="D55" s="16"/>
      <c r="E55" s="16"/>
      <c r="F55" s="16"/>
      <c r="G55" s="16"/>
    </row>
    <row r="56" spans="1:7" ht="23.4" x14ac:dyDescent="0.3">
      <c r="A56" s="16"/>
      <c r="B56" s="16"/>
      <c r="C56" s="16"/>
      <c r="D56" s="16"/>
      <c r="E56" s="16"/>
      <c r="F56" s="16"/>
      <c r="G56" s="16"/>
    </row>
    <row r="57" spans="1:7" ht="23.4" x14ac:dyDescent="0.3">
      <c r="A57" s="16"/>
      <c r="B57" s="16"/>
      <c r="C57" s="16"/>
      <c r="D57" s="16"/>
      <c r="E57" s="16"/>
      <c r="F57" s="16"/>
      <c r="G57" s="16"/>
    </row>
    <row r="58" spans="1:7" ht="23.4" x14ac:dyDescent="0.3">
      <c r="A58" s="16"/>
      <c r="B58" s="16"/>
      <c r="C58" s="16"/>
      <c r="D58" s="16"/>
      <c r="E58" s="16"/>
      <c r="F58" s="16"/>
      <c r="G58" s="16"/>
    </row>
    <row r="59" spans="1:7" ht="23.4" x14ac:dyDescent="0.3">
      <c r="A59" s="16"/>
      <c r="B59" s="16"/>
      <c r="C59" s="16"/>
      <c r="D59" s="16"/>
      <c r="E59" s="16"/>
      <c r="F59" s="16"/>
      <c r="G59" s="16"/>
    </row>
    <row r="60" spans="1:7" ht="23.4" x14ac:dyDescent="0.3">
      <c r="A60" s="16"/>
      <c r="B60" s="16"/>
      <c r="C60" s="16"/>
      <c r="D60" s="16"/>
      <c r="E60" s="16"/>
      <c r="F60" s="16"/>
      <c r="G60" s="16"/>
    </row>
    <row r="61" spans="1:7" ht="23.4" x14ac:dyDescent="0.3">
      <c r="A61" s="16"/>
      <c r="B61" s="16"/>
      <c r="C61" s="16"/>
      <c r="D61" s="16"/>
      <c r="E61" s="16"/>
      <c r="F61" s="16"/>
      <c r="G61" s="16"/>
    </row>
    <row r="62" spans="1:7" ht="23.4" x14ac:dyDescent="0.3">
      <c r="A62" s="16"/>
      <c r="B62" s="16"/>
      <c r="C62" s="16"/>
      <c r="D62" s="16"/>
      <c r="E62" s="16"/>
      <c r="F62" s="16"/>
      <c r="G62" s="16"/>
    </row>
    <row r="63" spans="1:7" ht="23.4" x14ac:dyDescent="0.3">
      <c r="A63" s="16"/>
      <c r="B63" s="16"/>
      <c r="C63" s="16"/>
      <c r="D63" s="16"/>
      <c r="E63" s="16"/>
      <c r="F63" s="16"/>
      <c r="G63" s="16"/>
    </row>
    <row r="64" spans="1:7" ht="23.4" x14ac:dyDescent="0.3">
      <c r="A64" s="16"/>
      <c r="B64" s="16"/>
      <c r="C64" s="16"/>
      <c r="D64" s="16"/>
      <c r="E64" s="16"/>
      <c r="F64" s="16"/>
      <c r="G64" s="16"/>
    </row>
    <row r="65" spans="1:7" ht="23.4" x14ac:dyDescent="0.3">
      <c r="A65" s="16"/>
      <c r="B65" s="16"/>
      <c r="C65" s="16"/>
      <c r="D65" s="16"/>
      <c r="E65" s="16"/>
      <c r="F65" s="16"/>
      <c r="G65" s="16"/>
    </row>
    <row r="66" spans="1:7" ht="23.4" x14ac:dyDescent="0.3">
      <c r="A66" s="16"/>
      <c r="B66" s="16"/>
      <c r="C66" s="16"/>
      <c r="D66" s="16"/>
      <c r="E66" s="16"/>
      <c r="F66" s="16"/>
      <c r="G66" s="16"/>
    </row>
    <row r="67" spans="1:7" ht="23.4" x14ac:dyDescent="0.3">
      <c r="A67" s="16"/>
      <c r="B67" s="16"/>
      <c r="C67" s="16"/>
      <c r="D67" s="16"/>
      <c r="E67" s="16"/>
      <c r="F67" s="16"/>
      <c r="G67" s="16"/>
    </row>
    <row r="68" spans="1:7" ht="23.4" x14ac:dyDescent="0.3">
      <c r="A68" s="16"/>
      <c r="B68" s="16"/>
      <c r="C68" s="16"/>
      <c r="D68" s="16"/>
      <c r="E68" s="16"/>
      <c r="F68" s="16"/>
      <c r="G68" s="16"/>
    </row>
    <row r="69" spans="1:7" ht="23.4" x14ac:dyDescent="0.3">
      <c r="A69" s="16"/>
      <c r="B69" s="16"/>
      <c r="C69" s="16"/>
      <c r="D69" s="16"/>
      <c r="E69" s="16"/>
      <c r="F69" s="16"/>
      <c r="G69" s="16"/>
    </row>
    <row r="70" spans="1:7" ht="23.4" x14ac:dyDescent="0.3">
      <c r="A70" s="16"/>
      <c r="B70" s="16"/>
      <c r="C70" s="16"/>
      <c r="D70" s="16"/>
      <c r="E70" s="16"/>
      <c r="F70" s="16"/>
      <c r="G70" s="16"/>
    </row>
    <row r="71" spans="1:7" ht="23.4" x14ac:dyDescent="0.3">
      <c r="A71" s="16"/>
      <c r="B71" s="16"/>
      <c r="C71" s="16"/>
      <c r="D71" s="16"/>
      <c r="E71" s="16"/>
      <c r="F71" s="16"/>
      <c r="G71" s="16"/>
    </row>
    <row r="72" spans="1:7" ht="23.4" x14ac:dyDescent="0.3">
      <c r="A72" s="16"/>
      <c r="B72" s="16"/>
      <c r="C72" s="16"/>
      <c r="D72" s="16"/>
      <c r="E72" s="16"/>
      <c r="F72" s="16"/>
      <c r="G72" s="16"/>
    </row>
    <row r="73" spans="1:7" ht="23.4" x14ac:dyDescent="0.3">
      <c r="A73" s="16"/>
      <c r="B73" s="16"/>
      <c r="C73" s="16"/>
      <c r="D73" s="16"/>
      <c r="E73" s="16"/>
      <c r="F73" s="16"/>
      <c r="G73" s="16"/>
    </row>
    <row r="74" spans="1:7" ht="23.4" x14ac:dyDescent="0.3">
      <c r="A74" s="16"/>
      <c r="B74" s="16"/>
      <c r="C74" s="16"/>
      <c r="D74" s="16"/>
      <c r="E74" s="16"/>
      <c r="F74" s="16"/>
      <c r="G74" s="16"/>
    </row>
    <row r="75" spans="1:7" ht="23.4" x14ac:dyDescent="0.3">
      <c r="A75" s="16"/>
      <c r="B75" s="16"/>
      <c r="C75" s="16"/>
      <c r="D75" s="16"/>
      <c r="E75" s="16"/>
      <c r="F75" s="16"/>
      <c r="G75" s="16"/>
    </row>
    <row r="76" spans="1:7" ht="23.4" x14ac:dyDescent="0.3">
      <c r="A76" s="16"/>
      <c r="B76" s="16"/>
      <c r="C76" s="16"/>
      <c r="D76" s="16"/>
      <c r="E76" s="16"/>
      <c r="F76" s="16"/>
      <c r="G76" s="16"/>
    </row>
    <row r="77" spans="1:7" ht="23.4" x14ac:dyDescent="0.3">
      <c r="A77" s="16"/>
      <c r="B77" s="16"/>
      <c r="C77" s="16"/>
      <c r="D77" s="16"/>
      <c r="E77" s="16"/>
      <c r="F77" s="16"/>
      <c r="G77" s="16"/>
    </row>
    <row r="78" spans="1:7" ht="23.4" x14ac:dyDescent="0.3">
      <c r="A78" s="16"/>
      <c r="B78" s="16"/>
      <c r="C78" s="16"/>
      <c r="D78" s="16"/>
      <c r="E78" s="16"/>
      <c r="F78" s="16"/>
      <c r="G78" s="16"/>
    </row>
    <row r="79" spans="1:7" ht="23.4" x14ac:dyDescent="0.3">
      <c r="A79" s="16"/>
      <c r="B79" s="16"/>
      <c r="C79" s="16"/>
      <c r="D79" s="16"/>
      <c r="E79" s="16"/>
      <c r="F79" s="16"/>
      <c r="G79" s="16"/>
    </row>
    <row r="80" spans="1:7" ht="23.4" x14ac:dyDescent="0.3">
      <c r="A80" s="16"/>
      <c r="B80" s="16"/>
      <c r="C80" s="16"/>
      <c r="D80" s="16"/>
      <c r="E80" s="16"/>
      <c r="F80" s="16"/>
      <c r="G80" s="16"/>
    </row>
    <row r="81" spans="1:7" ht="23.4" x14ac:dyDescent="0.3">
      <c r="A81" s="16"/>
      <c r="B81" s="16"/>
      <c r="C81" s="16"/>
      <c r="D81" s="16"/>
      <c r="E81" s="16"/>
      <c r="F81" s="16"/>
      <c r="G81" s="16"/>
    </row>
    <row r="82" spans="1:7" ht="23.4" x14ac:dyDescent="0.3">
      <c r="A82" s="16"/>
      <c r="B82" s="16"/>
      <c r="C82" s="16"/>
      <c r="D82" s="16"/>
      <c r="E82" s="16"/>
      <c r="F82" s="16"/>
      <c r="G82" s="16"/>
    </row>
    <row r="83" spans="1:7" ht="23.4" x14ac:dyDescent="0.3">
      <c r="A83" s="16"/>
      <c r="B83" s="16"/>
      <c r="C83" s="16"/>
      <c r="D83" s="16"/>
      <c r="E83" s="16"/>
      <c r="F83" s="16"/>
      <c r="G83" s="16"/>
    </row>
    <row r="84" spans="1:7" ht="23.4" x14ac:dyDescent="0.3">
      <c r="A84" s="16"/>
      <c r="B84" s="16"/>
      <c r="C84" s="16"/>
      <c r="D84" s="16"/>
      <c r="E84" s="16"/>
      <c r="F84" s="16"/>
      <c r="G84" s="16"/>
    </row>
    <row r="85" spans="1:7" ht="23.4" x14ac:dyDescent="0.3">
      <c r="A85" s="16"/>
      <c r="B85" s="16"/>
      <c r="C85" s="16"/>
      <c r="D85" s="16"/>
      <c r="E85" s="16"/>
      <c r="F85" s="16"/>
      <c r="G85" s="16"/>
    </row>
    <row r="86" spans="1:7" ht="23.4" x14ac:dyDescent="0.3">
      <c r="A86" s="16"/>
      <c r="B86" s="16"/>
      <c r="C86" s="16"/>
      <c r="D86" s="16"/>
      <c r="E86" s="16"/>
      <c r="F86" s="16"/>
      <c r="G86" s="16"/>
    </row>
    <row r="87" spans="1:7" ht="23.4" x14ac:dyDescent="0.3">
      <c r="A87" s="16"/>
      <c r="B87" s="16"/>
      <c r="C87" s="16"/>
      <c r="D87" s="16"/>
      <c r="E87" s="16"/>
      <c r="F87" s="16"/>
      <c r="G87" s="16"/>
    </row>
    <row r="88" spans="1:7" ht="23.4" x14ac:dyDescent="0.3">
      <c r="A88" s="16"/>
      <c r="B88" s="16"/>
      <c r="C88" s="16"/>
      <c r="D88" s="16"/>
      <c r="E88" s="16"/>
      <c r="F88" s="16"/>
      <c r="G88" s="16"/>
    </row>
  </sheetData>
  <mergeCells count="30">
    <mergeCell ref="A22:G22"/>
    <mergeCell ref="B23:E23"/>
    <mergeCell ref="B7:C7"/>
    <mergeCell ref="D7:E7"/>
    <mergeCell ref="G27:H27"/>
    <mergeCell ref="G25:H25"/>
    <mergeCell ref="B8:E8"/>
    <mergeCell ref="B9:E9"/>
    <mergeCell ref="B10:E10"/>
    <mergeCell ref="B11:E11"/>
    <mergeCell ref="A6:G6"/>
    <mergeCell ref="D21:E21"/>
    <mergeCell ref="B21:C21"/>
    <mergeCell ref="D20:E20"/>
    <mergeCell ref="D19:E19"/>
    <mergeCell ref="D18:E18"/>
    <mergeCell ref="B20:C20"/>
    <mergeCell ref="B19:C19"/>
    <mergeCell ref="B18:C18"/>
    <mergeCell ref="B17:E17"/>
    <mergeCell ref="B16:E16"/>
    <mergeCell ref="B15:E15"/>
    <mergeCell ref="B14:E14"/>
    <mergeCell ref="B13:E13"/>
    <mergeCell ref="B12:E12"/>
    <mergeCell ref="A1:G1"/>
    <mergeCell ref="B2:F2"/>
    <mergeCell ref="A3:G3"/>
    <mergeCell ref="B4:E4"/>
    <mergeCell ref="B5:E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25"/>
  <sheetViews>
    <sheetView topLeftCell="A16" workbookViewId="0">
      <selection sqref="A1:G1"/>
    </sheetView>
  </sheetViews>
  <sheetFormatPr defaultColWidth="14" defaultRowHeight="13.8" x14ac:dyDescent="0.3"/>
  <cols>
    <col min="4" max="4" width="47" customWidth="1"/>
    <col min="5" max="5" width="14" customWidth="1"/>
    <col min="7" max="7" width="16" customWidth="1"/>
  </cols>
  <sheetData>
    <row r="1" spans="1:7" ht="18" x14ac:dyDescent="0.3">
      <c r="A1" s="86" t="s">
        <v>6</v>
      </c>
      <c r="B1" s="86"/>
      <c r="C1" s="86"/>
      <c r="D1" s="86"/>
      <c r="E1" s="86"/>
      <c r="F1" s="86"/>
      <c r="G1" s="86"/>
    </row>
    <row r="2" spans="1:7" ht="15.6" x14ac:dyDescent="0.3">
      <c r="A2" s="9" t="s">
        <v>11</v>
      </c>
      <c r="B2" s="85" t="s">
        <v>76</v>
      </c>
      <c r="C2" s="85"/>
      <c r="D2" s="85"/>
      <c r="E2" s="85"/>
      <c r="F2" s="85"/>
      <c r="G2" s="9" t="s">
        <v>13</v>
      </c>
    </row>
    <row r="3" spans="1:7" ht="15.6" x14ac:dyDescent="0.3">
      <c r="A3" s="83" t="s">
        <v>77</v>
      </c>
      <c r="B3" s="83"/>
      <c r="C3" s="83"/>
      <c r="D3" s="83"/>
      <c r="E3" s="83"/>
      <c r="F3" s="83"/>
      <c r="G3" s="83"/>
    </row>
    <row r="4" spans="1:7" ht="18" x14ac:dyDescent="0.3">
      <c r="A4" s="4">
        <v>1</v>
      </c>
      <c r="B4" s="84" t="s">
        <v>18</v>
      </c>
      <c r="C4" s="84"/>
      <c r="D4" s="84"/>
      <c r="E4" s="1"/>
      <c r="F4" s="1" t="s">
        <v>19</v>
      </c>
      <c r="G4" s="7" t="s">
        <v>20</v>
      </c>
    </row>
    <row r="5" spans="1:7" ht="18" x14ac:dyDescent="0.3">
      <c r="A5" s="4">
        <v>2</v>
      </c>
      <c r="B5" s="84" t="s">
        <v>21</v>
      </c>
      <c r="C5" s="84"/>
      <c r="D5" s="84"/>
      <c r="E5" s="1"/>
      <c r="F5" s="1" t="s">
        <v>19</v>
      </c>
      <c r="G5" s="7" t="s">
        <v>20</v>
      </c>
    </row>
    <row r="6" spans="1:7" ht="15.6" x14ac:dyDescent="0.3">
      <c r="A6" s="83" t="s">
        <v>78</v>
      </c>
      <c r="B6" s="83"/>
      <c r="C6" s="83"/>
      <c r="D6" s="83"/>
      <c r="E6" s="83"/>
      <c r="F6" s="83"/>
      <c r="G6" s="83"/>
    </row>
    <row r="7" spans="1:7" ht="18" x14ac:dyDescent="0.3">
      <c r="A7" s="4">
        <v>3</v>
      </c>
      <c r="B7" s="84" t="s">
        <v>33</v>
      </c>
      <c r="C7" s="84"/>
      <c r="D7" s="84"/>
      <c r="E7" s="84"/>
      <c r="F7" s="1" t="s">
        <v>19</v>
      </c>
      <c r="G7" s="2">
        <v>30000</v>
      </c>
    </row>
    <row r="8" spans="1:7" ht="18" x14ac:dyDescent="0.3">
      <c r="A8" s="4">
        <v>4</v>
      </c>
      <c r="B8" s="84" t="s">
        <v>34</v>
      </c>
      <c r="C8" s="84"/>
      <c r="D8" s="84"/>
      <c r="E8" s="84"/>
      <c r="F8" s="1" t="s">
        <v>19</v>
      </c>
      <c r="G8" s="2">
        <v>30000</v>
      </c>
    </row>
    <row r="9" spans="1:7" ht="18" x14ac:dyDescent="0.3">
      <c r="A9" s="4">
        <v>5</v>
      </c>
      <c r="B9" s="84" t="s">
        <v>35</v>
      </c>
      <c r="C9" s="84"/>
      <c r="D9" s="84"/>
      <c r="E9" s="84"/>
      <c r="F9" s="1" t="s">
        <v>19</v>
      </c>
      <c r="G9" s="2">
        <v>100000</v>
      </c>
    </row>
    <row r="10" spans="1:7" ht="18" x14ac:dyDescent="0.3">
      <c r="A10" s="4">
        <v>6</v>
      </c>
      <c r="B10" s="84" t="s">
        <v>36</v>
      </c>
      <c r="C10" s="84"/>
      <c r="D10" s="84"/>
      <c r="E10" s="84"/>
      <c r="F10" s="1" t="s">
        <v>19</v>
      </c>
      <c r="G10" s="2">
        <v>150000</v>
      </c>
    </row>
    <row r="11" spans="1:7" ht="24" customHeight="1" x14ac:dyDescent="0.3">
      <c r="A11" s="4">
        <v>7</v>
      </c>
      <c r="B11" s="97" t="s">
        <v>61</v>
      </c>
      <c r="C11" s="97"/>
      <c r="D11" s="97"/>
      <c r="E11" s="97"/>
      <c r="F11" s="1" t="s">
        <v>19</v>
      </c>
      <c r="G11" s="17">
        <v>450000</v>
      </c>
    </row>
    <row r="12" spans="1:7" ht="18" x14ac:dyDescent="0.3">
      <c r="A12" s="4">
        <v>8</v>
      </c>
      <c r="B12" s="97" t="s">
        <v>62</v>
      </c>
      <c r="C12" s="97"/>
      <c r="D12" s="97"/>
      <c r="E12" s="97"/>
      <c r="F12" s="1" t="s">
        <v>19</v>
      </c>
      <c r="G12" s="2">
        <v>250000</v>
      </c>
    </row>
    <row r="13" spans="1:7" ht="24" customHeight="1" x14ac:dyDescent="0.3">
      <c r="A13" s="4">
        <v>9</v>
      </c>
      <c r="B13" s="97" t="s">
        <v>63</v>
      </c>
      <c r="C13" s="97"/>
      <c r="D13" s="97"/>
      <c r="E13" s="97"/>
      <c r="F13" s="1" t="s">
        <v>19</v>
      </c>
      <c r="G13" s="2">
        <v>500000</v>
      </c>
    </row>
    <row r="14" spans="1:7" ht="18" x14ac:dyDescent="0.3">
      <c r="A14" s="4">
        <v>10</v>
      </c>
      <c r="B14" s="84" t="s">
        <v>79</v>
      </c>
      <c r="C14" s="84"/>
      <c r="D14" s="84"/>
      <c r="E14" s="84"/>
      <c r="F14" s="1" t="s">
        <v>19</v>
      </c>
      <c r="G14" s="2">
        <v>500000</v>
      </c>
    </row>
    <row r="15" spans="1:7" ht="18" x14ac:dyDescent="0.3">
      <c r="A15" s="4">
        <v>11</v>
      </c>
      <c r="B15" s="97" t="s">
        <v>53</v>
      </c>
      <c r="C15" s="97"/>
      <c r="D15" s="97"/>
      <c r="E15" s="97"/>
      <c r="F15" s="1" t="s">
        <v>19</v>
      </c>
      <c r="G15" s="2">
        <v>700000</v>
      </c>
    </row>
    <row r="16" spans="1:7" ht="18" x14ac:dyDescent="0.3">
      <c r="A16" s="4">
        <v>12</v>
      </c>
      <c r="B16" s="97" t="s">
        <v>80</v>
      </c>
      <c r="C16" s="97"/>
      <c r="D16" s="97"/>
      <c r="E16" s="97"/>
      <c r="F16" s="1" t="s">
        <v>19</v>
      </c>
      <c r="G16" s="18">
        <v>350000</v>
      </c>
    </row>
    <row r="17" spans="1:7" ht="18" x14ac:dyDescent="0.3">
      <c r="A17" s="4">
        <v>13</v>
      </c>
      <c r="B17" s="97" t="s">
        <v>65</v>
      </c>
      <c r="C17" s="97"/>
      <c r="D17" s="97"/>
      <c r="E17" s="97"/>
      <c r="F17" s="1" t="s">
        <v>19</v>
      </c>
      <c r="G17" s="18">
        <v>300000</v>
      </c>
    </row>
    <row r="18" spans="1:7" ht="24" customHeight="1" x14ac:dyDescent="0.3">
      <c r="A18" s="4">
        <v>14</v>
      </c>
      <c r="B18" s="97" t="s">
        <v>81</v>
      </c>
      <c r="C18" s="97"/>
      <c r="D18" s="97"/>
      <c r="E18" s="97"/>
      <c r="F18" s="1" t="s">
        <v>19</v>
      </c>
      <c r="G18" s="18">
        <v>350000</v>
      </c>
    </row>
    <row r="19" spans="1:7" ht="18" x14ac:dyDescent="0.3">
      <c r="A19" s="4">
        <v>15</v>
      </c>
      <c r="B19" s="97" t="s">
        <v>82</v>
      </c>
      <c r="C19" s="97"/>
      <c r="D19" s="97"/>
      <c r="E19" s="97"/>
      <c r="F19" s="1" t="s">
        <v>19</v>
      </c>
      <c r="G19" s="18">
        <v>350000</v>
      </c>
    </row>
    <row r="20" spans="1:7" ht="25.05" customHeight="1" x14ac:dyDescent="0.3">
      <c r="A20" s="4">
        <v>16</v>
      </c>
      <c r="B20" s="97" t="s">
        <v>72</v>
      </c>
      <c r="C20" s="97"/>
      <c r="D20" s="97"/>
      <c r="E20" s="97"/>
      <c r="F20" s="1" t="s">
        <v>19</v>
      </c>
      <c r="G20" s="18">
        <v>350000</v>
      </c>
    </row>
    <row r="21" spans="1:7" ht="25.05" customHeight="1" x14ac:dyDescent="0.3">
      <c r="A21" s="4">
        <v>17</v>
      </c>
      <c r="B21" s="97" t="s">
        <v>83</v>
      </c>
      <c r="C21" s="97"/>
      <c r="D21" s="97"/>
      <c r="E21" s="97"/>
      <c r="F21" s="1" t="s">
        <v>19</v>
      </c>
      <c r="G21" s="18">
        <v>400000</v>
      </c>
    </row>
    <row r="22" spans="1:7" ht="18" x14ac:dyDescent="0.3">
      <c r="A22" s="4">
        <v>18</v>
      </c>
      <c r="B22" s="97" t="s">
        <v>84</v>
      </c>
      <c r="C22" s="97"/>
      <c r="D22" s="97"/>
      <c r="E22" s="97"/>
      <c r="F22" s="1" t="s">
        <v>19</v>
      </c>
      <c r="G22" s="18">
        <v>400000</v>
      </c>
    </row>
    <row r="23" spans="1:7" ht="43.05" customHeight="1" x14ac:dyDescent="0.3">
      <c r="A23" s="4">
        <v>19</v>
      </c>
      <c r="B23" s="103" t="s">
        <v>85</v>
      </c>
      <c r="C23" s="103"/>
      <c r="D23" s="103"/>
      <c r="E23" s="103"/>
      <c r="F23" s="1" t="s">
        <v>19</v>
      </c>
      <c r="G23" s="23">
        <v>300000</v>
      </c>
    </row>
    <row r="24" spans="1:7" ht="15.6" x14ac:dyDescent="0.3">
      <c r="A24" s="98" t="s">
        <v>37</v>
      </c>
      <c r="B24" s="98"/>
      <c r="C24" s="98"/>
      <c r="D24" s="98"/>
      <c r="E24" s="98"/>
      <c r="F24" s="98"/>
      <c r="G24" s="98"/>
    </row>
    <row r="25" spans="1:7" ht="39" customHeight="1" x14ac:dyDescent="0.3">
      <c r="A25" s="4">
        <v>20</v>
      </c>
      <c r="B25" s="84" t="s">
        <v>86</v>
      </c>
      <c r="C25" s="84"/>
      <c r="D25" s="84"/>
      <c r="E25" s="1"/>
      <c r="F25" s="1" t="s">
        <v>19</v>
      </c>
      <c r="G25" s="7" t="s">
        <v>39</v>
      </c>
    </row>
  </sheetData>
  <mergeCells count="25">
    <mergeCell ref="B20:E20"/>
    <mergeCell ref="B21:E21"/>
    <mergeCell ref="B22:E22"/>
    <mergeCell ref="B23:E23"/>
    <mergeCell ref="B15:E15"/>
    <mergeCell ref="B16:E16"/>
    <mergeCell ref="B17:E17"/>
    <mergeCell ref="B18:E18"/>
    <mergeCell ref="B19:E19"/>
    <mergeCell ref="B25:D25"/>
    <mergeCell ref="B5:D5"/>
    <mergeCell ref="B4:D4"/>
    <mergeCell ref="A1:G1"/>
    <mergeCell ref="B2:F2"/>
    <mergeCell ref="A3:G3"/>
    <mergeCell ref="A6:G6"/>
    <mergeCell ref="A24:G24"/>
    <mergeCell ref="B7:E7"/>
    <mergeCell ref="B8:E8"/>
    <mergeCell ref="B9:E9"/>
    <mergeCell ref="B10:E10"/>
    <mergeCell ref="B11:E11"/>
    <mergeCell ref="B12:E12"/>
    <mergeCell ref="B13:E13"/>
    <mergeCell ref="B14:E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85"/>
  <sheetViews>
    <sheetView topLeftCell="A7" workbookViewId="0">
      <selection sqref="A1:G1"/>
    </sheetView>
  </sheetViews>
  <sheetFormatPr defaultColWidth="14" defaultRowHeight="13.8" x14ac:dyDescent="0.3"/>
  <cols>
    <col min="3" max="3" width="35" customWidth="1"/>
    <col min="4" max="4" width="12" customWidth="1"/>
    <col min="5" max="6" width="15" customWidth="1"/>
    <col min="7" max="7" width="16" customWidth="1"/>
  </cols>
  <sheetData>
    <row r="1" spans="1:14" ht="23.4" x14ac:dyDescent="0.3">
      <c r="A1" s="86" t="s">
        <v>7</v>
      </c>
      <c r="B1" s="86"/>
      <c r="C1" s="86"/>
      <c r="D1" s="86"/>
      <c r="E1" s="86"/>
      <c r="F1" s="86"/>
      <c r="G1" s="86"/>
      <c r="H1" s="16"/>
      <c r="I1" s="16"/>
      <c r="J1" s="16"/>
      <c r="K1" s="16"/>
      <c r="L1" s="16"/>
      <c r="M1" s="16"/>
      <c r="N1" s="16"/>
    </row>
    <row r="2" spans="1:14" ht="23.4" x14ac:dyDescent="0.3">
      <c r="A2" s="9" t="s">
        <v>11</v>
      </c>
      <c r="B2" s="85" t="s">
        <v>87</v>
      </c>
      <c r="C2" s="85"/>
      <c r="D2" s="85"/>
      <c r="E2" s="85"/>
      <c r="F2" s="85"/>
      <c r="G2" s="9" t="s">
        <v>13</v>
      </c>
      <c r="H2" s="16"/>
      <c r="I2" s="16"/>
      <c r="J2" s="16"/>
      <c r="K2" s="16"/>
      <c r="L2" s="16"/>
      <c r="M2" s="16"/>
      <c r="N2" s="16"/>
    </row>
    <row r="3" spans="1:14" ht="23.4" x14ac:dyDescent="0.3">
      <c r="A3" s="83" t="s">
        <v>77</v>
      </c>
      <c r="B3" s="83"/>
      <c r="C3" s="83"/>
      <c r="D3" s="83"/>
      <c r="E3" s="83"/>
      <c r="F3" s="83"/>
      <c r="G3" s="83"/>
      <c r="H3" s="16"/>
      <c r="I3" s="16"/>
      <c r="J3" s="16"/>
      <c r="K3" s="16"/>
      <c r="L3" s="16"/>
      <c r="M3" s="16"/>
      <c r="N3" s="16"/>
    </row>
    <row r="4" spans="1:14" ht="23.4" x14ac:dyDescent="0.3">
      <c r="A4" s="4">
        <v>1</v>
      </c>
      <c r="B4" s="84" t="s">
        <v>18</v>
      </c>
      <c r="C4" s="84"/>
      <c r="D4" s="84"/>
      <c r="E4" s="1"/>
      <c r="F4" s="1" t="s">
        <v>19</v>
      </c>
      <c r="G4" s="7" t="s">
        <v>20</v>
      </c>
      <c r="H4" s="16"/>
      <c r="I4" s="16"/>
      <c r="J4" s="16"/>
      <c r="K4" s="16"/>
      <c r="L4" s="16"/>
      <c r="M4" s="16"/>
      <c r="N4" s="16"/>
    </row>
    <row r="5" spans="1:14" ht="23.4" x14ac:dyDescent="0.3">
      <c r="A5" s="4">
        <v>2</v>
      </c>
      <c r="B5" s="84" t="s">
        <v>21</v>
      </c>
      <c r="C5" s="84"/>
      <c r="D5" s="84"/>
      <c r="E5" s="1"/>
      <c r="F5" s="1" t="s">
        <v>19</v>
      </c>
      <c r="G5" s="7" t="s">
        <v>20</v>
      </c>
      <c r="H5" s="16"/>
      <c r="I5" s="16"/>
      <c r="J5" s="16"/>
      <c r="K5" s="16"/>
      <c r="L5" s="16"/>
      <c r="M5" s="16"/>
      <c r="N5" s="16"/>
    </row>
    <row r="6" spans="1:14" ht="15.6" x14ac:dyDescent="0.3">
      <c r="A6" s="83" t="s">
        <v>78</v>
      </c>
      <c r="B6" s="83"/>
      <c r="C6" s="83"/>
      <c r="D6" s="83"/>
      <c r="E6" s="83"/>
      <c r="F6" s="83"/>
      <c r="G6" s="83"/>
    </row>
    <row r="7" spans="1:14" ht="23.4" x14ac:dyDescent="0.3">
      <c r="A7" s="4">
        <v>3</v>
      </c>
      <c r="B7" s="84" t="s">
        <v>33</v>
      </c>
      <c r="C7" s="84"/>
      <c r="D7" s="84"/>
      <c r="E7" s="84"/>
      <c r="F7" s="1" t="s">
        <v>19</v>
      </c>
      <c r="G7" s="2">
        <v>50000</v>
      </c>
      <c r="H7" s="16"/>
      <c r="I7" s="16"/>
      <c r="J7" s="16"/>
      <c r="K7" s="16"/>
      <c r="L7" s="16"/>
      <c r="M7" s="16"/>
      <c r="N7" s="16"/>
    </row>
    <row r="8" spans="1:14" ht="23.4" x14ac:dyDescent="0.3">
      <c r="A8" s="4">
        <v>4</v>
      </c>
      <c r="B8" s="84" t="s">
        <v>34</v>
      </c>
      <c r="C8" s="84"/>
      <c r="D8" s="84"/>
      <c r="E8" s="84"/>
      <c r="F8" s="1" t="s">
        <v>19</v>
      </c>
      <c r="G8" s="2">
        <v>50000</v>
      </c>
      <c r="H8" s="16"/>
      <c r="I8" s="16"/>
      <c r="J8" s="16"/>
      <c r="K8" s="16"/>
      <c r="L8" s="16"/>
      <c r="M8" s="16"/>
      <c r="N8" s="16"/>
    </row>
    <row r="9" spans="1:14" ht="23.4" x14ac:dyDescent="0.3">
      <c r="A9" s="4">
        <v>5</v>
      </c>
      <c r="B9" s="84" t="s">
        <v>35</v>
      </c>
      <c r="C9" s="84"/>
      <c r="D9" s="84"/>
      <c r="E9" s="84"/>
      <c r="F9" s="1" t="s">
        <v>19</v>
      </c>
      <c r="G9" s="2">
        <v>120000</v>
      </c>
      <c r="H9" s="16"/>
      <c r="I9" s="16"/>
      <c r="J9" s="16"/>
      <c r="K9" s="16"/>
      <c r="L9" s="16"/>
      <c r="M9" s="16"/>
      <c r="N9" s="16"/>
    </row>
    <row r="10" spans="1:14" ht="23.4" x14ac:dyDescent="0.3">
      <c r="A10" s="4">
        <v>6</v>
      </c>
      <c r="B10" s="84" t="s">
        <v>36</v>
      </c>
      <c r="C10" s="84"/>
      <c r="D10" s="84"/>
      <c r="E10" s="84"/>
      <c r="F10" s="1" t="s">
        <v>19</v>
      </c>
      <c r="G10" s="2">
        <v>300000</v>
      </c>
      <c r="H10" s="16"/>
      <c r="I10" s="16"/>
      <c r="J10" s="16"/>
      <c r="K10" s="16"/>
      <c r="L10" s="16"/>
      <c r="M10" s="16"/>
      <c r="N10" s="16"/>
    </row>
    <row r="11" spans="1:14" ht="24" customHeight="1" x14ac:dyDescent="0.3">
      <c r="A11" s="4">
        <v>7</v>
      </c>
      <c r="B11" s="97" t="s">
        <v>62</v>
      </c>
      <c r="C11" s="97"/>
      <c r="D11" s="97"/>
      <c r="E11" s="97"/>
      <c r="F11" s="1" t="s">
        <v>19</v>
      </c>
      <c r="G11" s="17">
        <v>250000</v>
      </c>
      <c r="H11" s="16"/>
      <c r="I11" s="16"/>
      <c r="J11" s="16"/>
      <c r="K11" s="16"/>
      <c r="L11" s="16"/>
      <c r="M11" s="16"/>
      <c r="N11" s="16"/>
    </row>
    <row r="12" spans="1:14" ht="24" customHeight="1" x14ac:dyDescent="0.3">
      <c r="A12" s="4">
        <v>8</v>
      </c>
      <c r="B12" s="107" t="s">
        <v>51</v>
      </c>
      <c r="C12" s="107"/>
      <c r="D12" s="107"/>
      <c r="E12" s="107"/>
      <c r="F12" s="1" t="s">
        <v>19</v>
      </c>
      <c r="G12" s="2">
        <v>250000</v>
      </c>
      <c r="H12" s="16"/>
      <c r="I12" s="16"/>
      <c r="J12" s="16"/>
      <c r="K12" s="16"/>
      <c r="L12" s="16"/>
      <c r="M12" s="16"/>
      <c r="N12" s="16"/>
    </row>
    <row r="13" spans="1:14" ht="23.4" x14ac:dyDescent="0.3">
      <c r="A13" s="4">
        <v>9</v>
      </c>
      <c r="B13" s="97" t="s">
        <v>53</v>
      </c>
      <c r="C13" s="97"/>
      <c r="D13" s="97"/>
      <c r="E13" s="97"/>
      <c r="F13" s="1" t="s">
        <v>19</v>
      </c>
      <c r="G13" s="2">
        <v>700000</v>
      </c>
      <c r="H13" s="16"/>
      <c r="I13" s="16"/>
      <c r="J13" s="16"/>
      <c r="K13" s="16"/>
      <c r="L13" s="16"/>
      <c r="M13" s="16"/>
      <c r="N13" s="16"/>
    </row>
    <row r="14" spans="1:14" ht="24" customHeight="1" x14ac:dyDescent="0.3">
      <c r="A14" s="83" t="s">
        <v>37</v>
      </c>
      <c r="B14" s="83"/>
      <c r="C14" s="83"/>
      <c r="D14" s="83"/>
      <c r="E14" s="83"/>
      <c r="F14" s="83"/>
      <c r="G14" s="83"/>
      <c r="H14" s="16"/>
      <c r="I14" s="16"/>
      <c r="J14" s="16"/>
      <c r="K14" s="16"/>
      <c r="L14" s="16"/>
      <c r="M14" s="16"/>
      <c r="N14" s="16"/>
    </row>
    <row r="15" spans="1:14" ht="40.049999999999997" customHeight="1" x14ac:dyDescent="0.3">
      <c r="A15" s="26">
        <v>10</v>
      </c>
      <c r="B15" s="108" t="s">
        <v>86</v>
      </c>
      <c r="C15" s="108"/>
      <c r="D15" s="108"/>
      <c r="E15" s="108"/>
      <c r="F15" s="24" t="s">
        <v>19</v>
      </c>
      <c r="G15" s="25" t="s">
        <v>39</v>
      </c>
    </row>
    <row r="16" spans="1:14" ht="18" x14ac:dyDescent="0.3">
      <c r="A16" s="104" t="s">
        <v>88</v>
      </c>
      <c r="B16" s="104"/>
      <c r="C16" s="104"/>
      <c r="D16" s="104"/>
      <c r="E16" s="28"/>
      <c r="F16" s="104">
        <f>SUM(G7:G13)</f>
        <v>1720000</v>
      </c>
      <c r="G16" s="104"/>
    </row>
    <row r="17" spans="1:21" ht="18" x14ac:dyDescent="0.3">
      <c r="A17" s="105" t="s">
        <v>89</v>
      </c>
      <c r="B17" s="105"/>
      <c r="C17" s="105"/>
      <c r="D17" s="105"/>
      <c r="E17" s="27"/>
      <c r="F17" s="104">
        <v>3440000</v>
      </c>
      <c r="G17" s="104"/>
    </row>
    <row r="18" spans="1:21" ht="23.4" x14ac:dyDescent="0.3">
      <c r="A18" s="105"/>
      <c r="B18" s="105"/>
      <c r="C18" s="105"/>
      <c r="D18" s="105"/>
      <c r="E18" s="30"/>
      <c r="F18" s="106" t="s">
        <v>8</v>
      </c>
      <c r="G18" s="106"/>
    </row>
    <row r="20" spans="1:21" ht="23.4" x14ac:dyDescent="0.3">
      <c r="H20" s="16"/>
      <c r="I20" s="16"/>
      <c r="J20" s="16"/>
      <c r="K20" s="16"/>
      <c r="L20" s="16"/>
      <c r="M20" s="16"/>
      <c r="N20" s="16"/>
    </row>
    <row r="21" spans="1:21" ht="23.4" x14ac:dyDescent="0.3">
      <c r="H21" s="16"/>
      <c r="I21" s="16"/>
      <c r="J21" s="16"/>
      <c r="K21" s="16"/>
      <c r="L21" s="16"/>
      <c r="M21" s="16"/>
      <c r="N21" s="16"/>
    </row>
    <row r="22" spans="1:21" ht="23.4" x14ac:dyDescent="0.3">
      <c r="H22" s="16"/>
      <c r="I22" s="16"/>
      <c r="J22" s="16"/>
      <c r="K22" s="16"/>
      <c r="L22" s="16"/>
      <c r="M22" s="16"/>
      <c r="N22" s="16"/>
    </row>
    <row r="23" spans="1:21" ht="23.4" x14ac:dyDescent="0.3">
      <c r="A23" s="16"/>
      <c r="B23" s="16"/>
      <c r="C23" s="16"/>
      <c r="D23" s="16"/>
      <c r="E23" s="16"/>
      <c r="F23" s="16"/>
      <c r="G23" s="16"/>
      <c r="H23" s="16"/>
      <c r="I23" s="16"/>
      <c r="J23" s="16"/>
      <c r="K23" s="16"/>
      <c r="L23" s="16"/>
      <c r="M23" s="16"/>
      <c r="N23" s="16"/>
    </row>
    <row r="24" spans="1:21" ht="23.4" x14ac:dyDescent="0.3">
      <c r="A24" s="16"/>
      <c r="B24" s="16"/>
      <c r="C24" s="16"/>
      <c r="D24" s="16"/>
      <c r="E24" s="16"/>
      <c r="F24" s="16"/>
      <c r="G24" s="16"/>
      <c r="H24" s="16"/>
      <c r="I24" s="16"/>
      <c r="J24" s="16"/>
      <c r="K24" s="16"/>
      <c r="L24" s="16"/>
      <c r="M24" s="16"/>
      <c r="N24" s="16"/>
    </row>
    <row r="25" spans="1:21" ht="23.4" x14ac:dyDescent="0.3">
      <c r="H25" s="16"/>
      <c r="I25" s="16"/>
      <c r="J25" s="16"/>
      <c r="K25" s="16"/>
      <c r="L25" s="16"/>
      <c r="M25" s="16"/>
      <c r="N25" s="16"/>
    </row>
    <row r="26" spans="1:21" ht="23.4" x14ac:dyDescent="0.3">
      <c r="H26" s="16"/>
      <c r="I26" s="16"/>
      <c r="J26" s="16"/>
      <c r="K26" s="16"/>
      <c r="L26" s="16"/>
      <c r="M26" s="16"/>
      <c r="N26" s="16"/>
      <c r="O26" s="29"/>
      <c r="P26" s="29"/>
      <c r="Q26" s="29"/>
      <c r="R26" s="29"/>
      <c r="S26" s="29"/>
      <c r="T26" s="29"/>
      <c r="U26" s="29"/>
    </row>
    <row r="27" spans="1:21" ht="23.4" x14ac:dyDescent="0.3">
      <c r="H27" s="16"/>
      <c r="I27" s="16"/>
      <c r="J27" s="16"/>
      <c r="K27" s="16"/>
      <c r="L27" s="16"/>
      <c r="M27" s="16"/>
      <c r="N27" s="16"/>
    </row>
    <row r="28" spans="1:21" ht="23.4" x14ac:dyDescent="0.3">
      <c r="H28" s="16"/>
      <c r="I28" s="16"/>
      <c r="J28" s="16"/>
      <c r="K28" s="16"/>
      <c r="L28" s="16"/>
      <c r="M28" s="16"/>
      <c r="N28" s="16"/>
    </row>
    <row r="29" spans="1:21" ht="23.4" x14ac:dyDescent="0.3">
      <c r="A29" s="16"/>
      <c r="B29" s="16"/>
      <c r="C29" s="16"/>
      <c r="D29" s="16"/>
      <c r="E29" s="16"/>
      <c r="F29" s="16"/>
      <c r="G29" s="16"/>
      <c r="H29" s="16"/>
      <c r="I29" s="16"/>
      <c r="J29" s="16"/>
      <c r="K29" s="16"/>
      <c r="L29" s="16"/>
      <c r="M29" s="16"/>
      <c r="N29" s="16"/>
    </row>
    <row r="30" spans="1:21" ht="23.4" x14ac:dyDescent="0.3">
      <c r="A30" s="16"/>
      <c r="B30" s="16"/>
      <c r="C30" s="16"/>
      <c r="D30" s="16"/>
      <c r="E30" s="16"/>
      <c r="F30" s="16"/>
      <c r="G30" s="16"/>
      <c r="H30" s="16"/>
      <c r="I30" s="16"/>
      <c r="J30" s="16"/>
      <c r="K30" s="16"/>
      <c r="L30" s="16"/>
      <c r="M30" s="16"/>
      <c r="N30" s="16"/>
    </row>
    <row r="31" spans="1:21" ht="23.4" x14ac:dyDescent="0.3">
      <c r="A31" s="16"/>
      <c r="B31" s="16"/>
      <c r="C31" s="16"/>
      <c r="D31" s="16"/>
      <c r="E31" s="16"/>
      <c r="F31" s="16"/>
      <c r="G31" s="16"/>
      <c r="H31" s="16"/>
      <c r="I31" s="16"/>
      <c r="J31" s="16"/>
      <c r="K31" s="16"/>
      <c r="L31" s="16"/>
      <c r="M31" s="16"/>
      <c r="N31" s="16"/>
    </row>
    <row r="32" spans="1:21" ht="23.4" x14ac:dyDescent="0.3">
      <c r="A32" s="16"/>
      <c r="B32" s="16"/>
      <c r="C32" s="16"/>
      <c r="D32" s="16"/>
      <c r="E32" s="16"/>
      <c r="F32" s="16"/>
      <c r="G32" s="16"/>
      <c r="H32" s="16"/>
      <c r="I32" s="16"/>
      <c r="J32" s="16"/>
      <c r="K32" s="16"/>
      <c r="L32" s="16"/>
      <c r="M32" s="16"/>
      <c r="N32" s="16"/>
    </row>
    <row r="33" spans="1:14" ht="23.4" x14ac:dyDescent="0.3">
      <c r="A33" s="16"/>
      <c r="B33" s="16"/>
      <c r="C33" s="16"/>
      <c r="D33" s="16"/>
      <c r="E33" s="16"/>
      <c r="F33" s="16"/>
      <c r="G33" s="16"/>
      <c r="H33" s="16"/>
      <c r="I33" s="16"/>
      <c r="J33" s="16"/>
      <c r="K33" s="16"/>
      <c r="L33" s="16"/>
      <c r="M33" s="16"/>
      <c r="N33" s="16"/>
    </row>
    <row r="34" spans="1:14" ht="23.4" x14ac:dyDescent="0.3">
      <c r="A34" s="16"/>
      <c r="B34" s="16"/>
      <c r="C34" s="16"/>
      <c r="D34" s="16"/>
      <c r="E34" s="16"/>
      <c r="F34" s="16"/>
      <c r="G34" s="16"/>
      <c r="H34" s="16"/>
      <c r="I34" s="16"/>
      <c r="J34" s="16"/>
      <c r="K34" s="16"/>
      <c r="L34" s="16"/>
      <c r="M34" s="16"/>
      <c r="N34" s="16"/>
    </row>
    <row r="35" spans="1:14" ht="23.4" x14ac:dyDescent="0.3">
      <c r="A35" s="16"/>
      <c r="B35" s="16"/>
      <c r="C35" s="16"/>
      <c r="D35" s="16"/>
      <c r="E35" s="16"/>
      <c r="F35" s="16"/>
      <c r="G35" s="16"/>
      <c r="H35" s="16"/>
      <c r="I35" s="16"/>
      <c r="J35" s="16"/>
      <c r="K35" s="16"/>
      <c r="L35" s="16"/>
      <c r="M35" s="16"/>
      <c r="N35" s="16"/>
    </row>
    <row r="36" spans="1:14" ht="23.4" x14ac:dyDescent="0.3">
      <c r="A36" s="16"/>
      <c r="B36" s="16"/>
      <c r="C36" s="16"/>
      <c r="D36" s="16"/>
      <c r="E36" s="16"/>
      <c r="F36" s="16"/>
      <c r="G36" s="16"/>
      <c r="H36" s="16"/>
      <c r="I36" s="16"/>
      <c r="J36" s="16"/>
      <c r="K36" s="16"/>
      <c r="L36" s="16"/>
      <c r="M36" s="16"/>
      <c r="N36" s="16"/>
    </row>
    <row r="37" spans="1:14" ht="23.4" x14ac:dyDescent="0.3">
      <c r="A37" s="16"/>
      <c r="B37" s="16"/>
      <c r="C37" s="16"/>
      <c r="D37" s="16"/>
      <c r="E37" s="16"/>
      <c r="F37" s="16"/>
      <c r="G37" s="16"/>
      <c r="H37" s="16"/>
      <c r="I37" s="16"/>
      <c r="J37" s="16"/>
      <c r="K37" s="16"/>
      <c r="L37" s="16"/>
      <c r="M37" s="16"/>
      <c r="N37" s="16"/>
    </row>
    <row r="38" spans="1:14" ht="23.4" x14ac:dyDescent="0.3">
      <c r="A38" s="16"/>
      <c r="B38" s="16"/>
      <c r="C38" s="16"/>
      <c r="D38" s="16"/>
      <c r="E38" s="16"/>
      <c r="F38" s="16"/>
      <c r="G38" s="16"/>
      <c r="H38" s="16"/>
      <c r="I38" s="16"/>
      <c r="J38" s="16"/>
      <c r="K38" s="16"/>
      <c r="L38" s="16"/>
      <c r="M38" s="16"/>
      <c r="N38" s="16"/>
    </row>
    <row r="39" spans="1:14" ht="23.4" x14ac:dyDescent="0.3">
      <c r="A39" s="16"/>
      <c r="B39" s="16"/>
      <c r="C39" s="16"/>
      <c r="D39" s="16"/>
      <c r="E39" s="16"/>
      <c r="F39" s="16"/>
      <c r="G39" s="16"/>
      <c r="H39" s="16"/>
      <c r="I39" s="16"/>
      <c r="J39" s="16"/>
      <c r="K39" s="16"/>
      <c r="L39" s="16"/>
      <c r="M39" s="16"/>
      <c r="N39" s="16"/>
    </row>
    <row r="40" spans="1:14" ht="23.4" x14ac:dyDescent="0.3">
      <c r="A40" s="16"/>
      <c r="B40" s="16"/>
      <c r="C40" s="16"/>
      <c r="D40" s="16"/>
      <c r="E40" s="16"/>
      <c r="F40" s="16"/>
      <c r="G40" s="16"/>
      <c r="H40" s="16"/>
      <c r="I40" s="16"/>
      <c r="J40" s="16"/>
      <c r="K40" s="16"/>
      <c r="L40" s="16"/>
      <c r="M40" s="16"/>
      <c r="N40" s="16"/>
    </row>
    <row r="41" spans="1:14" ht="23.4" x14ac:dyDescent="0.3">
      <c r="A41" s="16"/>
      <c r="B41" s="16"/>
      <c r="C41" s="16"/>
      <c r="D41" s="16"/>
      <c r="E41" s="16"/>
      <c r="F41" s="16"/>
      <c r="G41" s="16"/>
      <c r="H41" s="16"/>
      <c r="I41" s="16"/>
      <c r="J41" s="16"/>
      <c r="K41" s="16"/>
      <c r="L41" s="16"/>
      <c r="M41" s="16"/>
      <c r="N41" s="16"/>
    </row>
    <row r="42" spans="1:14" ht="23.4" x14ac:dyDescent="0.3">
      <c r="A42" s="16"/>
      <c r="B42" s="16"/>
      <c r="C42" s="16"/>
      <c r="D42" s="16"/>
      <c r="E42" s="16"/>
      <c r="F42" s="16"/>
      <c r="G42" s="16"/>
      <c r="H42" s="16"/>
      <c r="I42" s="16"/>
      <c r="J42" s="16"/>
      <c r="K42" s="16"/>
      <c r="L42" s="16"/>
      <c r="M42" s="16"/>
      <c r="N42" s="16"/>
    </row>
    <row r="43" spans="1:14" ht="23.4" x14ac:dyDescent="0.3">
      <c r="A43" s="16"/>
      <c r="B43" s="16"/>
      <c r="C43" s="16"/>
      <c r="D43" s="16"/>
      <c r="E43" s="16"/>
      <c r="F43" s="16"/>
      <c r="G43" s="16"/>
      <c r="H43" s="16"/>
      <c r="I43" s="16"/>
      <c r="J43" s="16"/>
      <c r="K43" s="16"/>
      <c r="L43" s="16"/>
      <c r="M43" s="16"/>
      <c r="N43" s="16"/>
    </row>
    <row r="44" spans="1:14" ht="23.4" x14ac:dyDescent="0.3">
      <c r="A44" s="16"/>
      <c r="B44" s="16"/>
      <c r="C44" s="16"/>
      <c r="D44" s="16"/>
      <c r="E44" s="16"/>
      <c r="F44" s="16"/>
      <c r="G44" s="16"/>
      <c r="H44" s="16"/>
      <c r="I44" s="16"/>
      <c r="J44" s="16"/>
      <c r="K44" s="16"/>
      <c r="L44" s="16"/>
      <c r="M44" s="16"/>
      <c r="N44" s="16"/>
    </row>
    <row r="45" spans="1:14" ht="23.4" x14ac:dyDescent="0.3">
      <c r="A45" s="16"/>
      <c r="B45" s="16"/>
      <c r="C45" s="16"/>
      <c r="D45" s="16"/>
      <c r="E45" s="16"/>
      <c r="F45" s="16"/>
      <c r="G45" s="16"/>
      <c r="H45" s="16"/>
      <c r="I45" s="16"/>
      <c r="J45" s="16"/>
      <c r="K45" s="16"/>
      <c r="L45" s="16"/>
      <c r="M45" s="16"/>
      <c r="N45" s="16"/>
    </row>
    <row r="46" spans="1:14" ht="23.4" x14ac:dyDescent="0.3">
      <c r="A46" s="16"/>
      <c r="B46" s="16"/>
      <c r="C46" s="16"/>
      <c r="D46" s="16"/>
      <c r="E46" s="16"/>
      <c r="F46" s="16"/>
      <c r="G46" s="16"/>
      <c r="H46" s="16"/>
      <c r="I46" s="16"/>
      <c r="J46" s="16"/>
      <c r="K46" s="16"/>
      <c r="L46" s="16"/>
      <c r="M46" s="16"/>
      <c r="N46" s="16"/>
    </row>
    <row r="47" spans="1:14" ht="23.4" x14ac:dyDescent="0.3">
      <c r="A47" s="16"/>
      <c r="B47" s="16"/>
      <c r="C47" s="16"/>
      <c r="D47" s="16"/>
      <c r="E47" s="16"/>
      <c r="F47" s="16"/>
      <c r="G47" s="16"/>
      <c r="H47" s="16"/>
      <c r="I47" s="16"/>
      <c r="J47" s="16"/>
      <c r="K47" s="16"/>
      <c r="L47" s="16"/>
      <c r="M47" s="16"/>
      <c r="N47" s="16"/>
    </row>
    <row r="48" spans="1:14" ht="23.4" x14ac:dyDescent="0.3">
      <c r="A48" s="16"/>
      <c r="B48" s="16"/>
      <c r="C48" s="16"/>
      <c r="D48" s="16"/>
      <c r="E48" s="16"/>
      <c r="F48" s="16"/>
      <c r="G48" s="16"/>
      <c r="H48" s="16"/>
      <c r="I48" s="16"/>
      <c r="J48" s="16"/>
      <c r="K48" s="16"/>
      <c r="L48" s="16"/>
      <c r="M48" s="16"/>
      <c r="N48" s="16"/>
    </row>
    <row r="49" spans="1:14" ht="23.4" x14ac:dyDescent="0.3">
      <c r="A49" s="16"/>
      <c r="B49" s="16"/>
      <c r="C49" s="16"/>
      <c r="D49" s="16"/>
      <c r="E49" s="16"/>
      <c r="F49" s="16"/>
      <c r="G49" s="16"/>
      <c r="H49" s="16"/>
      <c r="I49" s="16"/>
      <c r="J49" s="16"/>
      <c r="K49" s="16"/>
      <c r="L49" s="16"/>
      <c r="M49" s="16"/>
      <c r="N49" s="16"/>
    </row>
    <row r="50" spans="1:14" ht="23.4" x14ac:dyDescent="0.3">
      <c r="A50" s="16"/>
      <c r="B50" s="16"/>
      <c r="C50" s="16"/>
      <c r="D50" s="16"/>
      <c r="E50" s="16"/>
      <c r="F50" s="16"/>
      <c r="G50" s="16"/>
      <c r="H50" s="16"/>
      <c r="I50" s="16"/>
      <c r="J50" s="16"/>
      <c r="K50" s="16"/>
      <c r="L50" s="16"/>
      <c r="M50" s="16"/>
      <c r="N50" s="16"/>
    </row>
    <row r="51" spans="1:14" ht="23.4" x14ac:dyDescent="0.3">
      <c r="A51" s="16"/>
      <c r="B51" s="16"/>
      <c r="C51" s="16"/>
      <c r="D51" s="16"/>
      <c r="E51" s="16"/>
      <c r="F51" s="16"/>
      <c r="G51" s="16"/>
      <c r="H51" s="16"/>
      <c r="I51" s="16"/>
      <c r="J51" s="16"/>
      <c r="K51" s="16"/>
      <c r="L51" s="16"/>
      <c r="M51" s="16"/>
      <c r="N51" s="16"/>
    </row>
    <row r="52" spans="1:14" ht="23.4" x14ac:dyDescent="0.3">
      <c r="A52" s="16"/>
      <c r="B52" s="16"/>
      <c r="C52" s="16"/>
      <c r="D52" s="16"/>
      <c r="E52" s="16"/>
      <c r="F52" s="16"/>
      <c r="G52" s="16"/>
      <c r="H52" s="16"/>
      <c r="I52" s="16"/>
      <c r="J52" s="16"/>
      <c r="K52" s="16"/>
      <c r="L52" s="16"/>
      <c r="M52" s="16"/>
      <c r="N52" s="16"/>
    </row>
    <row r="53" spans="1:14" ht="23.4" x14ac:dyDescent="0.3">
      <c r="A53" s="16"/>
      <c r="B53" s="16"/>
      <c r="C53" s="16"/>
      <c r="D53" s="16"/>
      <c r="E53" s="16"/>
      <c r="F53" s="16"/>
      <c r="G53" s="16"/>
      <c r="H53" s="16"/>
      <c r="I53" s="16"/>
      <c r="J53" s="16"/>
      <c r="K53" s="16"/>
      <c r="L53" s="16"/>
      <c r="M53" s="16"/>
      <c r="N53" s="16"/>
    </row>
    <row r="54" spans="1:14" ht="23.4" x14ac:dyDescent="0.3">
      <c r="A54" s="16"/>
      <c r="B54" s="16"/>
      <c r="C54" s="16"/>
      <c r="D54" s="16"/>
      <c r="E54" s="16"/>
      <c r="F54" s="16"/>
      <c r="G54" s="16"/>
      <c r="H54" s="16"/>
      <c r="I54" s="16"/>
      <c r="J54" s="16"/>
      <c r="K54" s="16"/>
      <c r="L54" s="16"/>
      <c r="M54" s="16"/>
      <c r="N54" s="16"/>
    </row>
    <row r="55" spans="1:14" ht="23.4" x14ac:dyDescent="0.3">
      <c r="A55" s="16"/>
      <c r="B55" s="16"/>
      <c r="C55" s="16"/>
      <c r="D55" s="16"/>
      <c r="E55" s="16"/>
      <c r="F55" s="16"/>
      <c r="G55" s="16"/>
      <c r="H55" s="16"/>
      <c r="I55" s="16"/>
      <c r="J55" s="16"/>
      <c r="K55" s="16"/>
      <c r="L55" s="16"/>
      <c r="M55" s="16"/>
      <c r="N55" s="16"/>
    </row>
    <row r="56" spans="1:14" ht="23.4" x14ac:dyDescent="0.3">
      <c r="A56" s="16"/>
      <c r="B56" s="16"/>
      <c r="C56" s="16"/>
      <c r="D56" s="16"/>
      <c r="E56" s="16"/>
      <c r="F56" s="16"/>
      <c r="G56" s="16"/>
      <c r="H56" s="16"/>
      <c r="I56" s="16"/>
      <c r="J56" s="16"/>
      <c r="K56" s="16"/>
      <c r="L56" s="16"/>
      <c r="M56" s="16"/>
      <c r="N56" s="16"/>
    </row>
    <row r="57" spans="1:14" ht="23.4" x14ac:dyDescent="0.3">
      <c r="A57" s="16"/>
      <c r="B57" s="16"/>
      <c r="C57" s="16"/>
      <c r="D57" s="16"/>
      <c r="E57" s="16"/>
      <c r="F57" s="16"/>
      <c r="G57" s="16"/>
      <c r="H57" s="16"/>
      <c r="I57" s="16"/>
      <c r="J57" s="16"/>
      <c r="K57" s="16"/>
      <c r="L57" s="16"/>
      <c r="M57" s="16"/>
      <c r="N57" s="16"/>
    </row>
    <row r="58" spans="1:14" ht="23.4" x14ac:dyDescent="0.3">
      <c r="A58" s="16"/>
      <c r="B58" s="16"/>
      <c r="C58" s="16"/>
      <c r="D58" s="16"/>
      <c r="E58" s="16"/>
      <c r="F58" s="16"/>
      <c r="G58" s="16"/>
      <c r="H58" s="16"/>
      <c r="I58" s="16"/>
      <c r="J58" s="16"/>
      <c r="K58" s="16"/>
      <c r="L58" s="16"/>
      <c r="M58" s="16"/>
      <c r="N58" s="16"/>
    </row>
    <row r="59" spans="1:14" ht="23.4" x14ac:dyDescent="0.3">
      <c r="A59" s="16"/>
      <c r="B59" s="16"/>
      <c r="C59" s="16"/>
      <c r="D59" s="16"/>
      <c r="E59" s="16"/>
      <c r="F59" s="16"/>
      <c r="G59" s="16"/>
      <c r="H59" s="16"/>
      <c r="I59" s="16"/>
      <c r="J59" s="16"/>
      <c r="K59" s="16"/>
      <c r="L59" s="16"/>
      <c r="M59" s="16"/>
      <c r="N59" s="16"/>
    </row>
    <row r="60" spans="1:14" ht="23.4" x14ac:dyDescent="0.3">
      <c r="A60" s="16"/>
      <c r="B60" s="16"/>
      <c r="C60" s="16"/>
      <c r="D60" s="16"/>
      <c r="E60" s="16"/>
      <c r="F60" s="16"/>
      <c r="G60" s="16"/>
      <c r="H60" s="16"/>
      <c r="I60" s="16"/>
      <c r="J60" s="16"/>
      <c r="K60" s="16"/>
      <c r="L60" s="16"/>
      <c r="M60" s="16"/>
      <c r="N60" s="16"/>
    </row>
    <row r="61" spans="1:14" ht="23.4" x14ac:dyDescent="0.3">
      <c r="A61" s="16"/>
      <c r="B61" s="16"/>
      <c r="C61" s="16"/>
      <c r="D61" s="16"/>
      <c r="E61" s="16"/>
      <c r="F61" s="16"/>
      <c r="G61" s="16"/>
      <c r="H61" s="16"/>
      <c r="I61" s="16"/>
      <c r="J61" s="16"/>
      <c r="K61" s="16"/>
      <c r="L61" s="16"/>
      <c r="M61" s="16"/>
      <c r="N61" s="16"/>
    </row>
    <row r="62" spans="1:14" ht="23.4" x14ac:dyDescent="0.3">
      <c r="A62" s="16"/>
      <c r="B62" s="16"/>
      <c r="C62" s="16"/>
      <c r="D62" s="16"/>
      <c r="E62" s="16"/>
      <c r="F62" s="16"/>
      <c r="G62" s="16"/>
      <c r="H62" s="16"/>
      <c r="I62" s="16"/>
      <c r="J62" s="16"/>
      <c r="K62" s="16"/>
      <c r="L62" s="16"/>
      <c r="M62" s="16"/>
      <c r="N62" s="16"/>
    </row>
    <row r="63" spans="1:14" ht="23.4" x14ac:dyDescent="0.3">
      <c r="A63" s="16"/>
      <c r="B63" s="16"/>
      <c r="C63" s="16"/>
      <c r="D63" s="16"/>
      <c r="E63" s="16"/>
      <c r="F63" s="16"/>
      <c r="G63" s="16"/>
      <c r="H63" s="16"/>
      <c r="I63" s="16"/>
      <c r="J63" s="16"/>
      <c r="K63" s="16"/>
      <c r="L63" s="16"/>
      <c r="M63" s="16"/>
      <c r="N63" s="16"/>
    </row>
    <row r="64" spans="1:14" ht="23.4" x14ac:dyDescent="0.3">
      <c r="A64" s="16"/>
      <c r="B64" s="16"/>
      <c r="C64" s="16"/>
      <c r="D64" s="16"/>
      <c r="E64" s="16"/>
      <c r="F64" s="16"/>
      <c r="G64" s="16"/>
      <c r="H64" s="16"/>
      <c r="I64" s="16"/>
      <c r="J64" s="16"/>
      <c r="K64" s="16"/>
      <c r="L64" s="16"/>
      <c r="M64" s="16"/>
      <c r="N64" s="16"/>
    </row>
    <row r="65" spans="1:14" ht="23.4" x14ac:dyDescent="0.3">
      <c r="A65" s="16"/>
      <c r="B65" s="16"/>
      <c r="C65" s="16"/>
      <c r="D65" s="16"/>
      <c r="E65" s="16"/>
      <c r="F65" s="16"/>
      <c r="G65" s="16"/>
      <c r="H65" s="16"/>
      <c r="I65" s="16"/>
      <c r="J65" s="16"/>
      <c r="K65" s="16"/>
      <c r="L65" s="16"/>
      <c r="M65" s="16"/>
      <c r="N65" s="16"/>
    </row>
    <row r="66" spans="1:14" ht="23.4" x14ac:dyDescent="0.3">
      <c r="A66" s="16"/>
      <c r="B66" s="16"/>
      <c r="C66" s="16"/>
      <c r="D66" s="16"/>
      <c r="E66" s="16"/>
      <c r="F66" s="16"/>
      <c r="G66" s="16"/>
      <c r="H66" s="16"/>
      <c r="I66" s="16"/>
      <c r="J66" s="16"/>
      <c r="K66" s="16"/>
      <c r="L66" s="16"/>
      <c r="M66" s="16"/>
      <c r="N66" s="16"/>
    </row>
    <row r="67" spans="1:14" ht="23.4" x14ac:dyDescent="0.3">
      <c r="A67" s="16"/>
      <c r="B67" s="16"/>
      <c r="C67" s="16"/>
      <c r="D67" s="16"/>
      <c r="E67" s="16"/>
      <c r="F67" s="16"/>
      <c r="G67" s="16"/>
      <c r="H67" s="16"/>
      <c r="I67" s="16"/>
      <c r="J67" s="16"/>
      <c r="K67" s="16"/>
      <c r="L67" s="16"/>
      <c r="M67" s="16"/>
      <c r="N67" s="16"/>
    </row>
    <row r="68" spans="1:14" ht="23.4" x14ac:dyDescent="0.3">
      <c r="A68" s="16"/>
      <c r="B68" s="16"/>
      <c r="C68" s="16"/>
      <c r="D68" s="16"/>
      <c r="E68" s="16"/>
      <c r="F68" s="16"/>
      <c r="G68" s="16"/>
      <c r="H68" s="16"/>
      <c r="I68" s="16"/>
      <c r="J68" s="16"/>
      <c r="K68" s="16"/>
      <c r="L68" s="16"/>
      <c r="M68" s="16"/>
      <c r="N68" s="16"/>
    </row>
    <row r="69" spans="1:14" ht="23.4" x14ac:dyDescent="0.3">
      <c r="A69" s="16"/>
      <c r="B69" s="16"/>
      <c r="C69" s="16"/>
      <c r="D69" s="16"/>
      <c r="E69" s="16"/>
      <c r="F69" s="16"/>
      <c r="G69" s="16"/>
      <c r="H69" s="16"/>
      <c r="I69" s="16"/>
      <c r="J69" s="16"/>
      <c r="K69" s="16"/>
      <c r="L69" s="16"/>
      <c r="M69" s="16"/>
      <c r="N69" s="16"/>
    </row>
    <row r="70" spans="1:14" ht="23.4" x14ac:dyDescent="0.3">
      <c r="A70" s="16"/>
      <c r="B70" s="16"/>
      <c r="C70" s="16"/>
      <c r="D70" s="16"/>
      <c r="E70" s="16"/>
      <c r="F70" s="16"/>
      <c r="G70" s="16"/>
      <c r="H70" s="16"/>
      <c r="I70" s="16"/>
      <c r="J70" s="16"/>
      <c r="K70" s="16"/>
      <c r="L70" s="16"/>
      <c r="M70" s="16"/>
      <c r="N70" s="16"/>
    </row>
    <row r="71" spans="1:14" ht="23.4" x14ac:dyDescent="0.3">
      <c r="A71" s="16"/>
      <c r="B71" s="16"/>
      <c r="C71" s="16"/>
      <c r="D71" s="16"/>
      <c r="E71" s="16"/>
      <c r="F71" s="16"/>
      <c r="G71" s="16"/>
      <c r="H71" s="16"/>
      <c r="I71" s="16"/>
      <c r="J71" s="16"/>
      <c r="K71" s="16"/>
      <c r="L71" s="16"/>
      <c r="M71" s="16"/>
      <c r="N71" s="16"/>
    </row>
    <row r="72" spans="1:14" ht="23.4" x14ac:dyDescent="0.3">
      <c r="A72" s="16"/>
      <c r="B72" s="16"/>
      <c r="C72" s="16"/>
      <c r="D72" s="16"/>
      <c r="E72" s="16"/>
      <c r="F72" s="16"/>
      <c r="G72" s="16"/>
      <c r="H72" s="16"/>
      <c r="I72" s="16"/>
      <c r="J72" s="16"/>
      <c r="K72" s="16"/>
      <c r="L72" s="16"/>
      <c r="M72" s="16"/>
      <c r="N72" s="16"/>
    </row>
    <row r="73" spans="1:14" ht="23.4" x14ac:dyDescent="0.3">
      <c r="A73" s="16"/>
      <c r="B73" s="16"/>
      <c r="C73" s="16"/>
      <c r="D73" s="16"/>
      <c r="E73" s="16"/>
      <c r="F73" s="16"/>
      <c r="G73" s="16"/>
      <c r="H73" s="16"/>
      <c r="I73" s="16"/>
      <c r="J73" s="16"/>
      <c r="K73" s="16"/>
      <c r="L73" s="16"/>
      <c r="M73" s="16"/>
      <c r="N73" s="16"/>
    </row>
    <row r="74" spans="1:14" ht="23.4" x14ac:dyDescent="0.3">
      <c r="A74" s="16"/>
      <c r="B74" s="16"/>
      <c r="C74" s="16"/>
      <c r="D74" s="16"/>
      <c r="E74" s="16"/>
      <c r="F74" s="16"/>
      <c r="G74" s="16"/>
      <c r="H74" s="16"/>
      <c r="I74" s="16"/>
      <c r="J74" s="16"/>
      <c r="K74" s="16"/>
      <c r="L74" s="16"/>
      <c r="M74" s="16"/>
      <c r="N74" s="16"/>
    </row>
    <row r="75" spans="1:14" ht="23.4" x14ac:dyDescent="0.3">
      <c r="A75" s="16"/>
      <c r="B75" s="16"/>
      <c r="C75" s="16"/>
      <c r="D75" s="16"/>
      <c r="E75" s="16"/>
      <c r="F75" s="16"/>
      <c r="G75" s="16"/>
      <c r="H75" s="16"/>
      <c r="I75" s="16"/>
      <c r="J75" s="16"/>
      <c r="K75" s="16"/>
      <c r="L75" s="16"/>
      <c r="M75" s="16"/>
      <c r="N75" s="16"/>
    </row>
    <row r="76" spans="1:14" ht="23.4" x14ac:dyDescent="0.3">
      <c r="A76" s="16"/>
      <c r="B76" s="16"/>
      <c r="C76" s="16"/>
      <c r="D76" s="16"/>
      <c r="E76" s="16"/>
      <c r="F76" s="16"/>
      <c r="G76" s="16"/>
      <c r="H76" s="16"/>
      <c r="I76" s="16"/>
      <c r="J76" s="16"/>
      <c r="K76" s="16"/>
      <c r="L76" s="16"/>
      <c r="M76" s="16"/>
      <c r="N76" s="16"/>
    </row>
    <row r="77" spans="1:14" ht="23.4" x14ac:dyDescent="0.3">
      <c r="A77" s="16"/>
      <c r="B77" s="16"/>
      <c r="C77" s="16"/>
      <c r="D77" s="16"/>
      <c r="E77" s="16"/>
      <c r="F77" s="16"/>
      <c r="G77" s="16"/>
      <c r="H77" s="16"/>
      <c r="I77" s="16"/>
      <c r="J77" s="16"/>
      <c r="K77" s="16"/>
      <c r="L77" s="16"/>
      <c r="M77" s="16"/>
      <c r="N77" s="16"/>
    </row>
    <row r="78" spans="1:14" ht="23.4" x14ac:dyDescent="0.3">
      <c r="A78" s="16"/>
      <c r="B78" s="16"/>
      <c r="C78" s="16"/>
      <c r="D78" s="16"/>
      <c r="E78" s="16"/>
      <c r="F78" s="16"/>
      <c r="G78" s="16"/>
      <c r="H78" s="16"/>
      <c r="I78" s="16"/>
      <c r="J78" s="16"/>
      <c r="K78" s="16"/>
      <c r="L78" s="16"/>
      <c r="M78" s="16"/>
      <c r="N78" s="16"/>
    </row>
    <row r="79" spans="1:14" ht="23.4" x14ac:dyDescent="0.3">
      <c r="A79" s="16"/>
      <c r="B79" s="16"/>
      <c r="C79" s="16"/>
      <c r="D79" s="16"/>
      <c r="E79" s="16"/>
      <c r="F79" s="16"/>
      <c r="G79" s="16"/>
      <c r="H79" s="16"/>
      <c r="I79" s="16"/>
      <c r="J79" s="16"/>
      <c r="K79" s="16"/>
      <c r="L79" s="16"/>
      <c r="M79" s="16"/>
      <c r="N79" s="16"/>
    </row>
    <row r="80" spans="1:14" ht="23.4" x14ac:dyDescent="0.3">
      <c r="A80" s="16"/>
      <c r="B80" s="16"/>
      <c r="C80" s="16"/>
      <c r="D80" s="16"/>
      <c r="E80" s="16"/>
      <c r="F80" s="16"/>
      <c r="G80" s="16"/>
      <c r="H80" s="16"/>
      <c r="I80" s="16"/>
      <c r="J80" s="16"/>
      <c r="K80" s="16"/>
      <c r="L80" s="16"/>
      <c r="M80" s="16"/>
      <c r="N80" s="16"/>
    </row>
    <row r="81" spans="1:14" ht="23.4" x14ac:dyDescent="0.3">
      <c r="A81" s="16"/>
      <c r="B81" s="16"/>
      <c r="C81" s="16"/>
      <c r="D81" s="16"/>
      <c r="E81" s="16"/>
      <c r="F81" s="16"/>
      <c r="G81" s="16"/>
      <c r="H81" s="16"/>
      <c r="I81" s="16"/>
      <c r="J81" s="16"/>
      <c r="K81" s="16"/>
      <c r="L81" s="16"/>
      <c r="M81" s="16"/>
      <c r="N81" s="16"/>
    </row>
    <row r="82" spans="1:14" ht="23.4" x14ac:dyDescent="0.3">
      <c r="A82" s="16"/>
      <c r="B82" s="16"/>
      <c r="C82" s="16"/>
      <c r="D82" s="16"/>
      <c r="E82" s="16"/>
      <c r="F82" s="16"/>
      <c r="G82" s="16"/>
      <c r="H82" s="16"/>
      <c r="I82" s="16"/>
      <c r="J82" s="16"/>
      <c r="K82" s="16"/>
      <c r="L82" s="16"/>
      <c r="M82" s="16"/>
      <c r="N82" s="16"/>
    </row>
    <row r="83" spans="1:14" ht="23.4" x14ac:dyDescent="0.3">
      <c r="A83" s="16"/>
      <c r="B83" s="16"/>
      <c r="C83" s="16"/>
      <c r="D83" s="16"/>
      <c r="E83" s="16"/>
      <c r="F83" s="16"/>
      <c r="G83" s="16"/>
      <c r="H83" s="16"/>
      <c r="I83" s="16"/>
      <c r="J83" s="16"/>
      <c r="K83" s="16"/>
      <c r="L83" s="16"/>
      <c r="M83" s="16"/>
      <c r="N83" s="16"/>
    </row>
    <row r="84" spans="1:14" ht="23.4" x14ac:dyDescent="0.3">
      <c r="A84" s="16"/>
      <c r="B84" s="16"/>
      <c r="C84" s="16"/>
      <c r="D84" s="16"/>
      <c r="E84" s="16"/>
      <c r="F84" s="16"/>
      <c r="G84" s="16"/>
      <c r="H84" s="16"/>
      <c r="I84" s="16"/>
      <c r="J84" s="16"/>
      <c r="K84" s="16"/>
      <c r="L84" s="16"/>
      <c r="M84" s="16"/>
      <c r="N84" s="16"/>
    </row>
    <row r="85" spans="1:14" ht="23.4" x14ac:dyDescent="0.3">
      <c r="A85" s="16"/>
      <c r="B85" s="16"/>
      <c r="C85" s="16"/>
      <c r="D85" s="16"/>
      <c r="E85" s="16"/>
      <c r="F85" s="16"/>
      <c r="G85" s="16"/>
      <c r="H85" s="16"/>
      <c r="I85" s="16"/>
      <c r="J85" s="16"/>
      <c r="K85" s="16"/>
      <c r="L85" s="16"/>
      <c r="M85" s="16"/>
      <c r="N85" s="16"/>
    </row>
  </sheetData>
  <mergeCells count="20">
    <mergeCell ref="B11:E11"/>
    <mergeCell ref="B12:E12"/>
    <mergeCell ref="B13:E13"/>
    <mergeCell ref="B15:E15"/>
    <mergeCell ref="A16:D16"/>
    <mergeCell ref="A17:D18"/>
    <mergeCell ref="B4:D4"/>
    <mergeCell ref="B5:D5"/>
    <mergeCell ref="A1:G1"/>
    <mergeCell ref="A3:G3"/>
    <mergeCell ref="B2:F2"/>
    <mergeCell ref="F18:G18"/>
    <mergeCell ref="F17:G17"/>
    <mergeCell ref="F16:G16"/>
    <mergeCell ref="A6:G6"/>
    <mergeCell ref="A14:G14"/>
    <mergeCell ref="B7:E7"/>
    <mergeCell ref="B8:E8"/>
    <mergeCell ref="B9:E9"/>
    <mergeCell ref="B10:E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6"/>
  <sheetViews>
    <sheetView topLeftCell="A7" workbookViewId="0">
      <selection activeCell="H5" sqref="H5"/>
    </sheetView>
  </sheetViews>
  <sheetFormatPr defaultColWidth="14" defaultRowHeight="13.8" x14ac:dyDescent="0.3"/>
  <cols>
    <col min="3" max="3" width="35" customWidth="1"/>
    <col min="4" max="4" width="12" customWidth="1"/>
    <col min="5" max="5" width="17" customWidth="1"/>
    <col min="6" max="6" width="29" customWidth="1"/>
  </cols>
  <sheetData>
    <row r="1" spans="1:6" ht="29.4" customHeight="1" x14ac:dyDescent="0.3">
      <c r="A1" s="109" t="s">
        <v>90</v>
      </c>
      <c r="B1" s="109"/>
      <c r="C1" s="109"/>
      <c r="D1" s="109"/>
      <c r="E1" s="109"/>
      <c r="F1" s="109"/>
    </row>
    <row r="2" spans="1:6" ht="29.4" customHeight="1" x14ac:dyDescent="0.3">
      <c r="A2" s="9" t="s">
        <v>11</v>
      </c>
      <c r="B2" s="85" t="s">
        <v>91</v>
      </c>
      <c r="C2" s="85"/>
      <c r="D2" s="85"/>
      <c r="E2" s="85"/>
      <c r="F2" s="9" t="s">
        <v>13</v>
      </c>
    </row>
    <row r="3" spans="1:6" ht="29.4" customHeight="1" x14ac:dyDescent="0.3">
      <c r="A3" s="83" t="s">
        <v>77</v>
      </c>
      <c r="B3" s="83"/>
      <c r="C3" s="83"/>
      <c r="D3" s="83"/>
      <c r="E3" s="83"/>
      <c r="F3" s="83"/>
    </row>
    <row r="4" spans="1:6" ht="29.4" customHeight="1" x14ac:dyDescent="0.3">
      <c r="A4" s="4">
        <v>1</v>
      </c>
      <c r="B4" s="84" t="s">
        <v>92</v>
      </c>
      <c r="C4" s="84"/>
      <c r="D4" s="84"/>
      <c r="E4" s="1" t="s">
        <v>19</v>
      </c>
      <c r="F4" s="7" t="s">
        <v>20</v>
      </c>
    </row>
    <row r="5" spans="1:6" ht="29.4" customHeight="1" x14ac:dyDescent="0.3">
      <c r="A5" s="4">
        <v>2</v>
      </c>
      <c r="B5" s="84" t="s">
        <v>21</v>
      </c>
      <c r="C5" s="84"/>
      <c r="D5" s="84"/>
      <c r="E5" s="1" t="s">
        <v>19</v>
      </c>
      <c r="F5" s="7" t="s">
        <v>20</v>
      </c>
    </row>
    <row r="6" spans="1:6" ht="29.4" customHeight="1" x14ac:dyDescent="0.3">
      <c r="A6" s="83" t="s">
        <v>93</v>
      </c>
      <c r="B6" s="83"/>
      <c r="C6" s="83"/>
      <c r="D6" s="83"/>
      <c r="E6" s="99" t="s">
        <v>94</v>
      </c>
      <c r="F6" s="99"/>
    </row>
    <row r="7" spans="1:6" ht="29.4" customHeight="1" x14ac:dyDescent="0.3">
      <c r="A7" s="4">
        <v>3</v>
      </c>
      <c r="B7" s="84" t="s">
        <v>95</v>
      </c>
      <c r="C7" s="84"/>
      <c r="D7" s="33" t="s">
        <v>96</v>
      </c>
      <c r="E7" s="1" t="s">
        <v>19</v>
      </c>
      <c r="F7" s="2">
        <v>200000</v>
      </c>
    </row>
    <row r="8" spans="1:6" ht="29.4" customHeight="1" x14ac:dyDescent="0.3">
      <c r="A8" s="4">
        <v>4</v>
      </c>
      <c r="B8" s="84" t="s">
        <v>47</v>
      </c>
      <c r="C8" s="84"/>
      <c r="D8" s="32" t="s">
        <v>27</v>
      </c>
      <c r="E8" s="1" t="s">
        <v>19</v>
      </c>
      <c r="F8" s="2">
        <v>250000</v>
      </c>
    </row>
    <row r="9" spans="1:6" ht="29.4" customHeight="1" x14ac:dyDescent="0.3">
      <c r="A9" s="26">
        <v>5</v>
      </c>
      <c r="B9" s="108" t="s">
        <v>30</v>
      </c>
      <c r="C9" s="108"/>
      <c r="D9" s="32" t="s">
        <v>27</v>
      </c>
      <c r="E9" s="1" t="s">
        <v>19</v>
      </c>
      <c r="F9" s="2">
        <v>100000</v>
      </c>
    </row>
    <row r="10" spans="1:6" ht="29.4" customHeight="1" x14ac:dyDescent="0.3">
      <c r="A10" s="105" t="s">
        <v>97</v>
      </c>
      <c r="B10" s="105"/>
      <c r="C10" s="105"/>
      <c r="D10" s="105"/>
      <c r="E10" s="105"/>
      <c r="F10" s="31">
        <f>SUM(F7:F9)</f>
        <v>550000</v>
      </c>
    </row>
    <row r="11" spans="1:6" ht="29.4" customHeight="1" x14ac:dyDescent="0.3">
      <c r="A11" s="83" t="s">
        <v>98</v>
      </c>
      <c r="B11" s="83"/>
      <c r="C11" s="83"/>
      <c r="D11" s="83"/>
      <c r="E11" s="99" t="s">
        <v>99</v>
      </c>
      <c r="F11" s="99"/>
    </row>
    <row r="12" spans="1:6" ht="29.4" customHeight="1" x14ac:dyDescent="0.3">
      <c r="A12" s="4">
        <v>6</v>
      </c>
      <c r="B12" s="84" t="s">
        <v>95</v>
      </c>
      <c r="C12" s="84"/>
      <c r="D12" s="33" t="s">
        <v>96</v>
      </c>
      <c r="E12" s="1" t="s">
        <v>19</v>
      </c>
      <c r="F12" s="2">
        <v>200000</v>
      </c>
    </row>
    <row r="13" spans="1:6" ht="29.4" customHeight="1" x14ac:dyDescent="0.3">
      <c r="A13" s="4">
        <v>7</v>
      </c>
      <c r="B13" s="84" t="s">
        <v>46</v>
      </c>
      <c r="C13" s="84"/>
      <c r="D13" s="32" t="s">
        <v>27</v>
      </c>
      <c r="E13" s="1" t="s">
        <v>19</v>
      </c>
      <c r="F13" s="2">
        <v>200000</v>
      </c>
    </row>
    <row r="14" spans="1:6" ht="29.4" customHeight="1" x14ac:dyDescent="0.3">
      <c r="A14" s="4">
        <v>8</v>
      </c>
      <c r="B14" s="84" t="s">
        <v>47</v>
      </c>
      <c r="C14" s="84"/>
      <c r="D14" s="32" t="s">
        <v>29</v>
      </c>
      <c r="E14" s="1" t="s">
        <v>19</v>
      </c>
      <c r="F14" s="2">
        <v>500000</v>
      </c>
    </row>
    <row r="15" spans="1:6" ht="29.4" customHeight="1" x14ac:dyDescent="0.3">
      <c r="A15" s="26">
        <v>9</v>
      </c>
      <c r="B15" s="108" t="s">
        <v>30</v>
      </c>
      <c r="C15" s="108"/>
      <c r="D15" s="32" t="s">
        <v>27</v>
      </c>
      <c r="E15" s="1" t="s">
        <v>19</v>
      </c>
      <c r="F15" s="2">
        <v>100000</v>
      </c>
    </row>
    <row r="16" spans="1:6" ht="29.4" customHeight="1" x14ac:dyDescent="0.3">
      <c r="A16" s="110" t="s">
        <v>100</v>
      </c>
      <c r="B16" s="110"/>
      <c r="C16" s="110"/>
      <c r="D16" s="110"/>
      <c r="E16" s="110"/>
      <c r="F16" s="34">
        <f>SUM(F12:F15)</f>
        <v>1000000</v>
      </c>
    </row>
  </sheetData>
  <mergeCells count="18">
    <mergeCell ref="B12:C12"/>
    <mergeCell ref="A16:E16"/>
    <mergeCell ref="B13:C13"/>
    <mergeCell ref="B14:C14"/>
    <mergeCell ref="B9:C9"/>
    <mergeCell ref="B15:C15"/>
    <mergeCell ref="B7:C7"/>
    <mergeCell ref="A6:D6"/>
    <mergeCell ref="E6:F6"/>
    <mergeCell ref="A10:E10"/>
    <mergeCell ref="A11:D11"/>
    <mergeCell ref="E11:F11"/>
    <mergeCell ref="B8:C8"/>
    <mergeCell ref="A1:F1"/>
    <mergeCell ref="B2:E2"/>
    <mergeCell ref="A3:F3"/>
    <mergeCell ref="B4:D4"/>
    <mergeCell ref="B5:D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71"/>
  <sheetViews>
    <sheetView workbookViewId="0">
      <pane xSplit="3" topLeftCell="D1" activePane="topRight" state="frozen"/>
      <selection pane="topRight" activeCell="J50" sqref="J50"/>
    </sheetView>
  </sheetViews>
  <sheetFormatPr defaultColWidth="14" defaultRowHeight="13.8" x14ac:dyDescent="0.3"/>
  <cols>
    <col min="1" max="1" width="9" customWidth="1"/>
    <col min="2" max="3" width="33" customWidth="1"/>
    <col min="4" max="5" width="25" customWidth="1"/>
    <col min="6" max="7" width="17" customWidth="1"/>
    <col min="8" max="8" width="25" customWidth="1"/>
    <col min="9" max="10" width="28" customWidth="1"/>
    <col min="11" max="11" width="25" customWidth="1"/>
    <col min="12" max="12" width="63" customWidth="1"/>
  </cols>
  <sheetData>
    <row r="1" spans="1:12" ht="23.4" x14ac:dyDescent="0.3">
      <c r="A1" s="111" t="s">
        <v>101</v>
      </c>
      <c r="B1" s="112"/>
      <c r="C1" s="112"/>
      <c r="D1" s="111"/>
      <c r="E1" s="111"/>
      <c r="F1" s="111"/>
      <c r="G1" s="111"/>
      <c r="H1" s="111"/>
      <c r="I1" s="111"/>
      <c r="J1" s="111"/>
      <c r="K1" s="111"/>
      <c r="L1" s="111"/>
    </row>
    <row r="2" spans="1:12" ht="31.2" x14ac:dyDescent="0.3">
      <c r="A2" s="52" t="s">
        <v>11</v>
      </c>
      <c r="B2" s="52" t="s">
        <v>102</v>
      </c>
      <c r="C2" s="53" t="s">
        <v>103</v>
      </c>
      <c r="D2" s="52" t="s">
        <v>104</v>
      </c>
      <c r="E2" s="53" t="s">
        <v>105</v>
      </c>
      <c r="F2" s="52" t="s">
        <v>106</v>
      </c>
      <c r="G2" s="54" t="s">
        <v>107</v>
      </c>
      <c r="H2" s="57" t="s">
        <v>108</v>
      </c>
      <c r="I2" s="55" t="s">
        <v>109</v>
      </c>
      <c r="J2" s="55" t="s">
        <v>110</v>
      </c>
      <c r="K2" s="58" t="s">
        <v>111</v>
      </c>
      <c r="L2" s="56" t="s">
        <v>112</v>
      </c>
    </row>
    <row r="3" spans="1:12" ht="15.6" x14ac:dyDescent="0.3">
      <c r="A3" s="44"/>
      <c r="B3" s="43" t="s">
        <v>116</v>
      </c>
      <c r="C3" s="46"/>
      <c r="D3" s="44"/>
      <c r="E3" s="44"/>
      <c r="F3" s="44"/>
      <c r="G3" s="45"/>
      <c r="H3" s="45"/>
      <c r="I3" s="45"/>
      <c r="J3" s="45"/>
      <c r="K3" s="45"/>
      <c r="L3" s="45"/>
    </row>
    <row r="4" spans="1:12" ht="15.6" x14ac:dyDescent="0.3">
      <c r="A4" s="35">
        <v>20</v>
      </c>
      <c r="B4" s="36" t="s">
        <v>117</v>
      </c>
      <c r="C4" s="19" t="s">
        <v>118</v>
      </c>
      <c r="D4" s="35" t="s">
        <v>119</v>
      </c>
      <c r="E4" s="35">
        <v>1</v>
      </c>
      <c r="F4" s="35">
        <v>25</v>
      </c>
      <c r="G4" s="41">
        <v>88000</v>
      </c>
      <c r="H4" s="41">
        <f t="shared" ref="H4:H23" si="0">G4/E4</f>
        <v>88000</v>
      </c>
      <c r="I4" s="41">
        <v>200000</v>
      </c>
      <c r="J4" s="39">
        <f t="shared" ref="J4:J23" si="1">I4/H4</f>
        <v>2.2727272727272729</v>
      </c>
      <c r="K4" s="41"/>
      <c r="L4" s="41"/>
    </row>
    <row r="5" spans="1:12" ht="15.6" x14ac:dyDescent="0.3">
      <c r="A5" s="35">
        <v>21</v>
      </c>
      <c r="B5" s="36" t="s">
        <v>117</v>
      </c>
      <c r="C5" s="19" t="s">
        <v>120</v>
      </c>
      <c r="D5" s="35" t="s">
        <v>119</v>
      </c>
      <c r="E5" s="35">
        <v>1</v>
      </c>
      <c r="F5" s="35">
        <v>25</v>
      </c>
      <c r="G5" s="41">
        <v>106000</v>
      </c>
      <c r="H5" s="41">
        <f t="shared" si="0"/>
        <v>106000</v>
      </c>
      <c r="I5" s="41">
        <v>250000</v>
      </c>
      <c r="J5" s="39">
        <f t="shared" si="1"/>
        <v>2.358490566037736</v>
      </c>
      <c r="K5" s="41"/>
      <c r="L5" s="41"/>
    </row>
    <row r="6" spans="1:12" ht="15.6" x14ac:dyDescent="0.3">
      <c r="A6" s="35">
        <v>22</v>
      </c>
      <c r="B6" s="36" t="s">
        <v>117</v>
      </c>
      <c r="C6" s="19" t="s">
        <v>121</v>
      </c>
      <c r="D6" s="35" t="s">
        <v>122</v>
      </c>
      <c r="E6" s="35">
        <v>1</v>
      </c>
      <c r="F6" s="35">
        <v>50</v>
      </c>
      <c r="G6" s="41">
        <v>17000</v>
      </c>
      <c r="H6" s="41">
        <f t="shared" si="0"/>
        <v>17000</v>
      </c>
      <c r="I6" s="41">
        <v>100000</v>
      </c>
      <c r="J6" s="39">
        <f t="shared" si="1"/>
        <v>5.882352941176471</v>
      </c>
      <c r="K6" s="41"/>
      <c r="L6" s="41"/>
    </row>
    <row r="7" spans="1:12" ht="15.6" x14ac:dyDescent="0.3">
      <c r="A7" s="35">
        <v>23</v>
      </c>
      <c r="B7" s="36" t="s">
        <v>123</v>
      </c>
      <c r="C7" s="19" t="s">
        <v>124</v>
      </c>
      <c r="D7" s="35" t="s">
        <v>113</v>
      </c>
      <c r="E7" s="35">
        <v>100</v>
      </c>
      <c r="F7" s="35">
        <v>1</v>
      </c>
      <c r="G7" s="41">
        <v>3750000</v>
      </c>
      <c r="H7" s="41">
        <f t="shared" si="0"/>
        <v>37500</v>
      </c>
      <c r="I7" s="41">
        <v>65000</v>
      </c>
      <c r="J7" s="39">
        <f t="shared" si="1"/>
        <v>1.7333333333333334</v>
      </c>
      <c r="K7" s="41"/>
      <c r="L7" s="41"/>
    </row>
    <row r="8" spans="1:12" ht="15.6" x14ac:dyDescent="0.3">
      <c r="A8" s="35">
        <v>24</v>
      </c>
      <c r="B8" s="36" t="s">
        <v>125</v>
      </c>
      <c r="C8" s="19" t="s">
        <v>126</v>
      </c>
      <c r="D8" s="35" t="s">
        <v>127</v>
      </c>
      <c r="E8" s="35">
        <v>3</v>
      </c>
      <c r="F8" s="35">
        <v>2</v>
      </c>
      <c r="G8" s="41">
        <v>576000</v>
      </c>
      <c r="H8" s="41">
        <f t="shared" si="0"/>
        <v>192000</v>
      </c>
      <c r="I8" s="41">
        <v>250000</v>
      </c>
      <c r="J8" s="39">
        <f t="shared" si="1"/>
        <v>1.3020833333333333</v>
      </c>
      <c r="K8" s="41"/>
      <c r="L8" s="41"/>
    </row>
    <row r="9" spans="1:12" ht="15.6" x14ac:dyDescent="0.3">
      <c r="A9" s="35">
        <v>25</v>
      </c>
      <c r="B9" s="36"/>
      <c r="C9" s="19" t="s">
        <v>128</v>
      </c>
      <c r="D9" s="35" t="s">
        <v>127</v>
      </c>
      <c r="E9" s="35">
        <v>3</v>
      </c>
      <c r="F9" s="35">
        <v>2</v>
      </c>
      <c r="G9" s="41">
        <v>675000</v>
      </c>
      <c r="H9" s="41">
        <f t="shared" si="0"/>
        <v>225000</v>
      </c>
      <c r="I9" s="41">
        <v>280000</v>
      </c>
      <c r="J9" s="39">
        <f t="shared" si="1"/>
        <v>1.2444444444444445</v>
      </c>
      <c r="K9" s="41"/>
      <c r="L9" s="41"/>
    </row>
    <row r="10" spans="1:12" ht="31.2" x14ac:dyDescent="0.3">
      <c r="A10" s="35">
        <v>26</v>
      </c>
      <c r="B10" s="36" t="s">
        <v>129</v>
      </c>
      <c r="C10" s="19" t="s">
        <v>130</v>
      </c>
      <c r="D10" s="35" t="s">
        <v>131</v>
      </c>
      <c r="E10" s="35">
        <v>3</v>
      </c>
      <c r="F10" s="38">
        <v>2</v>
      </c>
      <c r="G10" s="37">
        <v>575000</v>
      </c>
      <c r="H10" s="41">
        <f t="shared" si="0"/>
        <v>191666.66666666666</v>
      </c>
      <c r="I10" s="41">
        <v>257000</v>
      </c>
      <c r="J10" s="39">
        <f t="shared" si="1"/>
        <v>1.3408695652173914</v>
      </c>
      <c r="K10" s="41"/>
      <c r="L10" s="41"/>
    </row>
    <row r="11" spans="1:12" ht="31.2" x14ac:dyDescent="0.3">
      <c r="A11" s="35">
        <v>27</v>
      </c>
      <c r="B11" s="36"/>
      <c r="C11" s="19" t="s">
        <v>132</v>
      </c>
      <c r="D11" s="35" t="s">
        <v>131</v>
      </c>
      <c r="E11" s="35">
        <v>3</v>
      </c>
      <c r="F11" s="38">
        <v>4</v>
      </c>
      <c r="G11" s="37">
        <v>630000</v>
      </c>
      <c r="H11" s="41">
        <f t="shared" si="0"/>
        <v>210000</v>
      </c>
      <c r="I11" s="41">
        <v>300000</v>
      </c>
      <c r="J11" s="39">
        <f t="shared" si="1"/>
        <v>1.4285714285714286</v>
      </c>
      <c r="K11" s="41"/>
      <c r="L11" s="41"/>
    </row>
    <row r="12" spans="1:12" ht="31.2" x14ac:dyDescent="0.3">
      <c r="A12" s="35">
        <v>28</v>
      </c>
      <c r="B12" s="36"/>
      <c r="C12" s="19" t="s">
        <v>133</v>
      </c>
      <c r="D12" s="35" t="s">
        <v>131</v>
      </c>
      <c r="E12" s="35">
        <v>3</v>
      </c>
      <c r="F12" s="38">
        <v>4</v>
      </c>
      <c r="G12" s="37">
        <v>730000</v>
      </c>
      <c r="H12" s="41">
        <f t="shared" si="0"/>
        <v>243333.33333333334</v>
      </c>
      <c r="I12" s="41">
        <v>350000</v>
      </c>
      <c r="J12" s="39">
        <f t="shared" si="1"/>
        <v>1.4383561643835616</v>
      </c>
      <c r="K12" s="41"/>
      <c r="L12" s="41"/>
    </row>
    <row r="13" spans="1:12" ht="31.2" x14ac:dyDescent="0.3">
      <c r="A13" s="35">
        <v>29</v>
      </c>
      <c r="B13" s="36"/>
      <c r="C13" s="19" t="s">
        <v>134</v>
      </c>
      <c r="D13" s="35" t="s">
        <v>131</v>
      </c>
      <c r="E13" s="35">
        <v>3</v>
      </c>
      <c r="F13" s="38">
        <v>2</v>
      </c>
      <c r="G13" s="51">
        <v>993000</v>
      </c>
      <c r="H13" s="41">
        <f t="shared" si="0"/>
        <v>331000</v>
      </c>
      <c r="I13" s="41">
        <v>450000</v>
      </c>
      <c r="J13" s="39">
        <f t="shared" si="1"/>
        <v>1.3595166163141994</v>
      </c>
      <c r="K13" s="41"/>
      <c r="L13" s="41"/>
    </row>
    <row r="14" spans="1:12" ht="15.6" x14ac:dyDescent="0.3">
      <c r="A14" s="35">
        <v>30</v>
      </c>
      <c r="B14" s="36" t="s">
        <v>135</v>
      </c>
      <c r="C14" s="19" t="s">
        <v>136</v>
      </c>
      <c r="D14" s="35" t="s">
        <v>137</v>
      </c>
      <c r="E14" s="35">
        <v>1</v>
      </c>
      <c r="F14" s="38">
        <v>5</v>
      </c>
      <c r="G14" s="37">
        <v>108000</v>
      </c>
      <c r="H14" s="41">
        <f t="shared" si="0"/>
        <v>108000</v>
      </c>
      <c r="I14" s="41">
        <v>150000</v>
      </c>
      <c r="J14" s="39">
        <f t="shared" si="1"/>
        <v>1.3888888888888888</v>
      </c>
      <c r="K14" s="41"/>
      <c r="L14" s="41"/>
    </row>
    <row r="15" spans="1:12" ht="15.6" x14ac:dyDescent="0.3">
      <c r="A15" s="35">
        <v>31</v>
      </c>
      <c r="B15" s="36"/>
      <c r="C15" s="19" t="s">
        <v>138</v>
      </c>
      <c r="D15" s="35" t="s">
        <v>139</v>
      </c>
      <c r="E15" s="35">
        <v>28</v>
      </c>
      <c r="F15" s="38">
        <v>1</v>
      </c>
      <c r="G15" s="37">
        <v>196000</v>
      </c>
      <c r="H15" s="41">
        <f t="shared" si="0"/>
        <v>7000</v>
      </c>
      <c r="I15" s="41">
        <v>10000</v>
      </c>
      <c r="J15" s="39">
        <f t="shared" si="1"/>
        <v>1.4285714285714286</v>
      </c>
      <c r="K15" s="41"/>
      <c r="L15" s="41"/>
    </row>
    <row r="16" spans="1:12" ht="15.6" x14ac:dyDescent="0.3">
      <c r="A16" s="35">
        <v>32</v>
      </c>
      <c r="B16" s="36" t="s">
        <v>140</v>
      </c>
      <c r="C16" s="19" t="s">
        <v>141</v>
      </c>
      <c r="D16" s="35" t="s">
        <v>142</v>
      </c>
      <c r="E16" s="35">
        <v>1</v>
      </c>
      <c r="F16" s="38">
        <v>5</v>
      </c>
      <c r="G16" s="37">
        <v>48000</v>
      </c>
      <c r="H16" s="41">
        <f t="shared" si="0"/>
        <v>48000</v>
      </c>
      <c r="I16" s="41">
        <v>70000</v>
      </c>
      <c r="J16" s="39">
        <f t="shared" si="1"/>
        <v>1.4583333333333333</v>
      </c>
      <c r="K16" s="41"/>
      <c r="L16" s="41"/>
    </row>
    <row r="17" spans="1:12" ht="15.6" x14ac:dyDescent="0.3">
      <c r="A17" s="35">
        <v>33</v>
      </c>
      <c r="B17" s="36" t="s">
        <v>143</v>
      </c>
      <c r="C17" s="19" t="s">
        <v>144</v>
      </c>
      <c r="D17" s="35" t="s">
        <v>145</v>
      </c>
      <c r="E17" s="35">
        <v>10</v>
      </c>
      <c r="F17" s="38">
        <v>2</v>
      </c>
      <c r="G17" s="37">
        <v>95000</v>
      </c>
      <c r="H17" s="41">
        <f t="shared" si="0"/>
        <v>9500</v>
      </c>
      <c r="I17" s="41">
        <v>20000</v>
      </c>
      <c r="J17" s="39">
        <f t="shared" si="1"/>
        <v>2.1052631578947367</v>
      </c>
      <c r="K17" s="41"/>
      <c r="L17" s="41"/>
    </row>
    <row r="18" spans="1:12" ht="15.6" x14ac:dyDescent="0.3">
      <c r="A18" s="35">
        <v>34</v>
      </c>
      <c r="B18" s="36" t="s">
        <v>146</v>
      </c>
      <c r="C18" s="19" t="s">
        <v>147</v>
      </c>
      <c r="D18" s="35" t="s">
        <v>148</v>
      </c>
      <c r="E18" s="35">
        <v>1</v>
      </c>
      <c r="F18" s="38">
        <v>20</v>
      </c>
      <c r="G18" s="37">
        <v>10000</v>
      </c>
      <c r="H18" s="41">
        <f t="shared" si="0"/>
        <v>10000</v>
      </c>
      <c r="I18" s="41">
        <v>20000</v>
      </c>
      <c r="J18" s="39">
        <f t="shared" si="1"/>
        <v>2</v>
      </c>
      <c r="K18" s="41"/>
      <c r="L18" s="41"/>
    </row>
    <row r="19" spans="1:12" ht="15.6" x14ac:dyDescent="0.3">
      <c r="A19" s="35">
        <v>35</v>
      </c>
      <c r="B19" s="36" t="s">
        <v>149</v>
      </c>
      <c r="C19" s="19" t="s">
        <v>150</v>
      </c>
      <c r="D19" s="35" t="s">
        <v>151</v>
      </c>
      <c r="E19" s="35">
        <v>1</v>
      </c>
      <c r="F19" s="38">
        <v>5</v>
      </c>
      <c r="G19" s="37">
        <v>83000</v>
      </c>
      <c r="H19" s="41">
        <f t="shared" si="0"/>
        <v>83000</v>
      </c>
      <c r="I19" s="41">
        <v>150000</v>
      </c>
      <c r="J19" s="39">
        <f t="shared" si="1"/>
        <v>1.8072289156626506</v>
      </c>
      <c r="K19" s="41"/>
      <c r="L19" s="41"/>
    </row>
    <row r="20" spans="1:12" ht="15.6" x14ac:dyDescent="0.3">
      <c r="A20" s="35">
        <v>36</v>
      </c>
      <c r="B20" s="36" t="s">
        <v>152</v>
      </c>
      <c r="C20" s="19" t="s">
        <v>153</v>
      </c>
      <c r="D20" s="35" t="s">
        <v>154</v>
      </c>
      <c r="E20" s="35">
        <v>3</v>
      </c>
      <c r="F20" s="38">
        <v>2</v>
      </c>
      <c r="G20" s="37">
        <v>168000</v>
      </c>
      <c r="H20" s="41">
        <f t="shared" si="0"/>
        <v>56000</v>
      </c>
      <c r="I20" s="41">
        <v>110000</v>
      </c>
      <c r="J20" s="39">
        <f t="shared" si="1"/>
        <v>1.9642857142857142</v>
      </c>
      <c r="K20" s="41"/>
      <c r="L20" s="41"/>
    </row>
    <row r="21" spans="1:12" ht="15.6" x14ac:dyDescent="0.3">
      <c r="A21" s="35">
        <v>37</v>
      </c>
      <c r="B21" s="36"/>
      <c r="C21" s="19" t="s">
        <v>155</v>
      </c>
      <c r="D21" s="35" t="s">
        <v>154</v>
      </c>
      <c r="E21" s="35">
        <v>3</v>
      </c>
      <c r="F21" s="38">
        <v>2</v>
      </c>
      <c r="G21" s="37">
        <v>240000</v>
      </c>
      <c r="H21" s="41">
        <f t="shared" si="0"/>
        <v>80000</v>
      </c>
      <c r="I21" s="41">
        <v>150000</v>
      </c>
      <c r="J21" s="39">
        <f t="shared" si="1"/>
        <v>1.875</v>
      </c>
      <c r="K21" s="41"/>
      <c r="L21" s="41"/>
    </row>
    <row r="22" spans="1:12" ht="15.6" x14ac:dyDescent="0.3">
      <c r="A22" s="35">
        <v>38</v>
      </c>
      <c r="B22" s="36" t="s">
        <v>156</v>
      </c>
      <c r="C22" s="19" t="s">
        <v>157</v>
      </c>
      <c r="D22" s="35" t="s">
        <v>158</v>
      </c>
      <c r="E22" s="35">
        <v>1</v>
      </c>
      <c r="F22" s="38">
        <v>20</v>
      </c>
      <c r="G22" s="37">
        <v>24000</v>
      </c>
      <c r="H22" s="41">
        <f t="shared" si="0"/>
        <v>24000</v>
      </c>
      <c r="I22" s="41">
        <v>35000</v>
      </c>
      <c r="J22" s="39">
        <f t="shared" si="1"/>
        <v>1.4583333333333333</v>
      </c>
      <c r="K22" s="41"/>
      <c r="L22" s="41"/>
    </row>
    <row r="23" spans="1:12" ht="15.6" x14ac:dyDescent="0.3">
      <c r="A23" s="35">
        <v>39</v>
      </c>
      <c r="B23" s="36" t="s">
        <v>149</v>
      </c>
      <c r="C23" s="19" t="s">
        <v>159</v>
      </c>
      <c r="D23" s="35" t="s">
        <v>160</v>
      </c>
      <c r="E23" s="35">
        <v>500</v>
      </c>
      <c r="F23" s="38">
        <v>1</v>
      </c>
      <c r="G23" s="37">
        <v>530000</v>
      </c>
      <c r="H23" s="41">
        <f t="shared" si="0"/>
        <v>1060</v>
      </c>
      <c r="I23" s="41">
        <v>6000</v>
      </c>
      <c r="J23" s="39">
        <f t="shared" si="1"/>
        <v>5.6603773584905657</v>
      </c>
      <c r="K23" s="41"/>
      <c r="L23" s="41"/>
    </row>
    <row r="24" spans="1:12" ht="15.6" x14ac:dyDescent="0.3">
      <c r="A24" s="44"/>
      <c r="B24" s="43" t="s">
        <v>161</v>
      </c>
      <c r="C24" s="46"/>
      <c r="D24" s="44"/>
      <c r="E24" s="44"/>
      <c r="F24" s="44"/>
      <c r="G24" s="45"/>
      <c r="H24" s="45"/>
      <c r="I24" s="45"/>
      <c r="J24" s="45"/>
      <c r="K24" s="45"/>
      <c r="L24" s="45"/>
    </row>
    <row r="25" spans="1:12" ht="15.6" x14ac:dyDescent="0.3">
      <c r="A25" s="35">
        <v>40</v>
      </c>
      <c r="B25" s="36" t="s">
        <v>162</v>
      </c>
      <c r="C25" s="19" t="s">
        <v>163</v>
      </c>
      <c r="D25" s="35" t="s">
        <v>115</v>
      </c>
      <c r="E25" s="35">
        <v>20</v>
      </c>
      <c r="F25" s="38">
        <v>2</v>
      </c>
      <c r="G25" s="37">
        <v>98250</v>
      </c>
      <c r="H25" s="37">
        <f t="shared" ref="H25:H34" si="2">G25/E25</f>
        <v>4912.5</v>
      </c>
      <c r="I25" s="37">
        <v>10000</v>
      </c>
      <c r="J25" s="39">
        <f t="shared" ref="J25:J32" si="3">I25/H25</f>
        <v>2.0356234096692112</v>
      </c>
      <c r="K25" s="37"/>
      <c r="L25" s="113" t="s">
        <v>164</v>
      </c>
    </row>
    <row r="26" spans="1:12" ht="15.6" x14ac:dyDescent="0.3">
      <c r="A26" s="35">
        <v>41</v>
      </c>
      <c r="B26" s="36" t="s">
        <v>165</v>
      </c>
      <c r="C26" s="19" t="s">
        <v>166</v>
      </c>
      <c r="D26" s="35" t="s">
        <v>115</v>
      </c>
      <c r="E26" s="35">
        <v>20</v>
      </c>
      <c r="F26" s="38">
        <v>2</v>
      </c>
      <c r="G26" s="37">
        <v>104250</v>
      </c>
      <c r="H26" s="37">
        <f t="shared" si="2"/>
        <v>5212.5</v>
      </c>
      <c r="I26" s="37">
        <v>15000</v>
      </c>
      <c r="J26" s="39">
        <f t="shared" si="3"/>
        <v>2.8776978417266186</v>
      </c>
      <c r="K26" s="37"/>
      <c r="L26" s="113"/>
    </row>
    <row r="27" spans="1:12" ht="15.6" x14ac:dyDescent="0.3">
      <c r="A27" s="35">
        <v>42</v>
      </c>
      <c r="B27" s="36" t="s">
        <v>167</v>
      </c>
      <c r="C27" s="19" t="s">
        <v>168</v>
      </c>
      <c r="D27" s="35" t="s">
        <v>169</v>
      </c>
      <c r="E27" s="35">
        <v>50</v>
      </c>
      <c r="F27" s="38">
        <v>1</v>
      </c>
      <c r="G27" s="37">
        <v>114750</v>
      </c>
      <c r="H27" s="37">
        <f t="shared" si="2"/>
        <v>2295</v>
      </c>
      <c r="I27" s="37">
        <v>7000</v>
      </c>
      <c r="J27" s="39">
        <f t="shared" si="3"/>
        <v>3.0501089324618738</v>
      </c>
      <c r="K27" s="37"/>
      <c r="L27" s="113"/>
    </row>
    <row r="28" spans="1:12" ht="15.6" x14ac:dyDescent="0.3">
      <c r="A28" s="35">
        <v>43</v>
      </c>
      <c r="B28" s="36" t="s">
        <v>170</v>
      </c>
      <c r="C28" s="19" t="s">
        <v>171</v>
      </c>
      <c r="D28" s="35" t="s">
        <v>169</v>
      </c>
      <c r="E28" s="35">
        <v>50</v>
      </c>
      <c r="F28" s="38">
        <v>1</v>
      </c>
      <c r="G28" s="37">
        <v>67500</v>
      </c>
      <c r="H28" s="37">
        <f t="shared" si="2"/>
        <v>1350</v>
      </c>
      <c r="I28" s="37">
        <v>5000</v>
      </c>
      <c r="J28" s="39">
        <f t="shared" si="3"/>
        <v>3.7037037037037037</v>
      </c>
      <c r="K28" s="37"/>
      <c r="L28" s="113"/>
    </row>
    <row r="29" spans="1:12" ht="15.6" x14ac:dyDescent="0.3">
      <c r="A29" s="35">
        <v>44</v>
      </c>
      <c r="B29" s="36" t="s">
        <v>172</v>
      </c>
      <c r="C29" s="19" t="s">
        <v>173</v>
      </c>
      <c r="D29" s="35" t="s">
        <v>169</v>
      </c>
      <c r="E29" s="35">
        <v>50</v>
      </c>
      <c r="F29" s="38">
        <v>1</v>
      </c>
      <c r="G29" s="37">
        <v>97500</v>
      </c>
      <c r="H29" s="37">
        <f t="shared" si="2"/>
        <v>1950</v>
      </c>
      <c r="I29" s="37">
        <v>6000</v>
      </c>
      <c r="J29" s="39">
        <f t="shared" si="3"/>
        <v>3.0769230769230771</v>
      </c>
      <c r="K29" s="37"/>
      <c r="L29" s="113"/>
    </row>
    <row r="30" spans="1:12" ht="15.6" x14ac:dyDescent="0.3">
      <c r="A30" s="35">
        <v>45</v>
      </c>
      <c r="B30" s="36" t="s">
        <v>174</v>
      </c>
      <c r="C30" s="19" t="s">
        <v>175</v>
      </c>
      <c r="D30" s="35" t="s">
        <v>114</v>
      </c>
      <c r="E30" s="35">
        <v>100</v>
      </c>
      <c r="F30" s="38">
        <v>1</v>
      </c>
      <c r="G30" s="37">
        <v>266000</v>
      </c>
      <c r="H30" s="37">
        <f t="shared" si="2"/>
        <v>2660</v>
      </c>
      <c r="I30" s="37">
        <v>6000</v>
      </c>
      <c r="J30" s="39">
        <f t="shared" si="3"/>
        <v>2.255639097744361</v>
      </c>
      <c r="K30" s="37"/>
      <c r="L30" s="113"/>
    </row>
    <row r="31" spans="1:12" ht="15.6" x14ac:dyDescent="0.3">
      <c r="A31" s="35">
        <v>46</v>
      </c>
      <c r="B31" s="36" t="s">
        <v>176</v>
      </c>
      <c r="C31" s="19" t="s">
        <v>176</v>
      </c>
      <c r="D31" s="35" t="s">
        <v>137</v>
      </c>
      <c r="E31" s="35">
        <v>1</v>
      </c>
      <c r="F31" s="38">
        <v>3</v>
      </c>
      <c r="G31" s="37">
        <v>270000</v>
      </c>
      <c r="H31" s="37">
        <f t="shared" si="2"/>
        <v>270000</v>
      </c>
      <c r="I31" s="37">
        <v>350000</v>
      </c>
      <c r="J31" s="39">
        <f t="shared" si="3"/>
        <v>1.2962962962962963</v>
      </c>
      <c r="K31" s="37"/>
      <c r="L31" s="114" t="s">
        <v>177</v>
      </c>
    </row>
    <row r="32" spans="1:12" ht="15.6" x14ac:dyDescent="0.3">
      <c r="A32" s="35">
        <v>47</v>
      </c>
      <c r="B32" s="36" t="s">
        <v>178</v>
      </c>
      <c r="C32" s="19" t="s">
        <v>178</v>
      </c>
      <c r="D32" s="35" t="s">
        <v>137</v>
      </c>
      <c r="E32" s="35">
        <v>1</v>
      </c>
      <c r="F32" s="38">
        <v>3</v>
      </c>
      <c r="G32" s="37">
        <v>270000</v>
      </c>
      <c r="H32" s="37">
        <f t="shared" si="2"/>
        <v>270000</v>
      </c>
      <c r="I32" s="37">
        <v>350000</v>
      </c>
      <c r="J32" s="39">
        <f t="shared" si="3"/>
        <v>1.2962962962962963</v>
      </c>
      <c r="K32" s="37"/>
      <c r="L32" s="114"/>
    </row>
    <row r="33" spans="1:12" ht="15.6" x14ac:dyDescent="0.3">
      <c r="A33" s="35">
        <v>48</v>
      </c>
      <c r="B33" s="36" t="s">
        <v>179</v>
      </c>
      <c r="C33" s="19" t="s">
        <v>179</v>
      </c>
      <c r="D33" s="35" t="s">
        <v>180</v>
      </c>
      <c r="E33" s="35">
        <v>1</v>
      </c>
      <c r="F33" s="38">
        <v>3</v>
      </c>
      <c r="G33" s="37">
        <v>305000</v>
      </c>
      <c r="H33" s="37">
        <f t="shared" si="2"/>
        <v>305000</v>
      </c>
      <c r="I33" s="37" t="s">
        <v>181</v>
      </c>
      <c r="J33" s="37"/>
      <c r="K33" s="37"/>
      <c r="L33" s="114"/>
    </row>
    <row r="34" spans="1:12" ht="15.6" x14ac:dyDescent="0.3">
      <c r="A34" s="35">
        <v>49</v>
      </c>
      <c r="B34" s="36" t="s">
        <v>182</v>
      </c>
      <c r="C34" s="19" t="s">
        <v>182</v>
      </c>
      <c r="D34" s="35" t="s">
        <v>180</v>
      </c>
      <c r="E34" s="35">
        <v>1</v>
      </c>
      <c r="F34" s="38">
        <v>1</v>
      </c>
      <c r="G34" s="37">
        <v>320000</v>
      </c>
      <c r="H34" s="37">
        <f t="shared" si="2"/>
        <v>320000</v>
      </c>
      <c r="I34" s="37" t="s">
        <v>183</v>
      </c>
      <c r="J34" s="37"/>
      <c r="K34" s="37"/>
      <c r="L34" s="114"/>
    </row>
    <row r="35" spans="1:12" ht="15.6" x14ac:dyDescent="0.3">
      <c r="A35" s="44"/>
      <c r="B35" s="43" t="s">
        <v>184</v>
      </c>
      <c r="C35" s="46"/>
      <c r="D35" s="44"/>
      <c r="E35" s="44"/>
      <c r="F35" s="44"/>
      <c r="G35" s="45"/>
      <c r="H35" s="45"/>
      <c r="I35" s="45"/>
      <c r="J35" s="45"/>
      <c r="K35" s="45"/>
      <c r="L35" s="45"/>
    </row>
    <row r="36" spans="1:12" ht="31.2" x14ac:dyDescent="0.3">
      <c r="A36" s="35">
        <v>50</v>
      </c>
      <c r="B36" s="50" t="s">
        <v>185</v>
      </c>
      <c r="C36" s="47" t="s">
        <v>186</v>
      </c>
      <c r="D36" s="48" t="s">
        <v>187</v>
      </c>
      <c r="E36" s="35"/>
      <c r="F36" s="49">
        <v>2</v>
      </c>
      <c r="G36" s="37">
        <v>267996</v>
      </c>
      <c r="H36" s="37">
        <v>22333</v>
      </c>
      <c r="I36" s="37">
        <v>35000</v>
      </c>
      <c r="J36" s="39">
        <f t="shared" ref="J36:J47" si="4">I36/H36</f>
        <v>1.5671875699637308</v>
      </c>
      <c r="K36" s="37"/>
      <c r="L36" s="37"/>
    </row>
    <row r="37" spans="1:12" ht="15.6" x14ac:dyDescent="0.3">
      <c r="A37" s="35">
        <v>51</v>
      </c>
      <c r="B37" s="50" t="s">
        <v>188</v>
      </c>
      <c r="C37" s="47" t="s">
        <v>189</v>
      </c>
      <c r="D37" s="48" t="s">
        <v>187</v>
      </c>
      <c r="E37" s="35"/>
      <c r="F37" s="49">
        <v>2</v>
      </c>
      <c r="G37" s="37">
        <v>408000</v>
      </c>
      <c r="H37" s="37">
        <v>34000</v>
      </c>
      <c r="I37" s="37">
        <v>45000</v>
      </c>
      <c r="J37" s="39">
        <f t="shared" si="4"/>
        <v>1.3235294117647058</v>
      </c>
      <c r="K37" s="37"/>
      <c r="L37" s="37"/>
    </row>
    <row r="38" spans="1:12" ht="31.2" x14ac:dyDescent="0.3">
      <c r="A38" s="35">
        <v>52</v>
      </c>
      <c r="B38" s="115" t="s">
        <v>190</v>
      </c>
      <c r="C38" s="47" t="s">
        <v>191</v>
      </c>
      <c r="D38" s="48" t="s">
        <v>192</v>
      </c>
      <c r="E38" s="35"/>
      <c r="F38" s="49">
        <v>12</v>
      </c>
      <c r="G38" s="37">
        <v>29000</v>
      </c>
      <c r="H38" s="37">
        <v>29000</v>
      </c>
      <c r="I38" s="37">
        <v>38000</v>
      </c>
      <c r="J38" s="39">
        <f t="shared" si="4"/>
        <v>1.3103448275862069</v>
      </c>
      <c r="K38" s="37"/>
      <c r="L38" s="37"/>
    </row>
    <row r="39" spans="1:12" ht="46.8" x14ac:dyDescent="0.3">
      <c r="A39" s="35">
        <v>53</v>
      </c>
      <c r="B39" s="115"/>
      <c r="C39" s="47" t="s">
        <v>193</v>
      </c>
      <c r="D39" s="48" t="s">
        <v>192</v>
      </c>
      <c r="E39" s="35"/>
      <c r="F39" s="49">
        <v>12</v>
      </c>
      <c r="G39" s="37">
        <v>29000</v>
      </c>
      <c r="H39" s="37">
        <v>29000</v>
      </c>
      <c r="I39" s="37">
        <v>38000</v>
      </c>
      <c r="J39" s="39">
        <f t="shared" si="4"/>
        <v>1.3103448275862069</v>
      </c>
      <c r="K39" s="37"/>
      <c r="L39" s="37"/>
    </row>
    <row r="40" spans="1:12" ht="31.2" x14ac:dyDescent="0.3">
      <c r="A40" s="35">
        <v>54</v>
      </c>
      <c r="B40" s="115"/>
      <c r="C40" s="47" t="s">
        <v>194</v>
      </c>
      <c r="D40" s="48" t="s">
        <v>192</v>
      </c>
      <c r="E40" s="35"/>
      <c r="F40" s="49">
        <v>12</v>
      </c>
      <c r="G40" s="37">
        <v>29000</v>
      </c>
      <c r="H40" s="37">
        <v>29000</v>
      </c>
      <c r="I40" s="37">
        <v>38000</v>
      </c>
      <c r="J40" s="39">
        <f t="shared" si="4"/>
        <v>1.3103448275862069</v>
      </c>
      <c r="K40" s="37"/>
      <c r="L40" s="37"/>
    </row>
    <row r="41" spans="1:12" ht="15.6" x14ac:dyDescent="0.3">
      <c r="A41" s="35">
        <v>55</v>
      </c>
      <c r="B41" s="36"/>
      <c r="C41" s="19" t="s">
        <v>195</v>
      </c>
      <c r="D41" s="42" t="s">
        <v>196</v>
      </c>
      <c r="E41" s="35"/>
      <c r="F41" s="38">
        <v>10</v>
      </c>
      <c r="G41" s="37">
        <v>45000</v>
      </c>
      <c r="H41" s="37">
        <f>G41/10</f>
        <v>4500</v>
      </c>
      <c r="I41" s="37">
        <v>10000</v>
      </c>
      <c r="J41" s="39">
        <f t="shared" si="4"/>
        <v>2.2222222222222223</v>
      </c>
      <c r="K41" s="37"/>
      <c r="L41" s="37"/>
    </row>
    <row r="42" spans="1:12" ht="15.6" x14ac:dyDescent="0.3">
      <c r="A42" s="35">
        <v>56</v>
      </c>
      <c r="B42" s="36"/>
      <c r="C42" s="19" t="s">
        <v>197</v>
      </c>
      <c r="D42" s="42" t="s">
        <v>198</v>
      </c>
      <c r="E42" s="35"/>
      <c r="F42" s="38">
        <v>1</v>
      </c>
      <c r="G42" s="37">
        <v>135000</v>
      </c>
      <c r="H42" s="37">
        <v>135000</v>
      </c>
      <c r="I42" s="37">
        <v>170000</v>
      </c>
      <c r="J42" s="39">
        <f t="shared" si="4"/>
        <v>1.2592592592592593</v>
      </c>
      <c r="K42" s="37"/>
      <c r="L42" s="37"/>
    </row>
    <row r="43" spans="1:12" ht="15.6" x14ac:dyDescent="0.3">
      <c r="A43" s="35">
        <v>57</v>
      </c>
      <c r="B43" s="36" t="s">
        <v>199</v>
      </c>
      <c r="C43" s="19" t="s">
        <v>200</v>
      </c>
      <c r="D43" s="35" t="s">
        <v>201</v>
      </c>
      <c r="E43" s="35"/>
      <c r="F43" s="38">
        <v>5</v>
      </c>
      <c r="G43" s="37">
        <v>40000</v>
      </c>
      <c r="H43" s="37">
        <v>40000</v>
      </c>
      <c r="I43" s="37">
        <v>60000</v>
      </c>
      <c r="J43" s="39">
        <f t="shared" si="4"/>
        <v>1.5</v>
      </c>
      <c r="K43" s="37"/>
      <c r="L43" s="37"/>
    </row>
    <row r="44" spans="1:12" ht="15.6" x14ac:dyDescent="0.3">
      <c r="A44" s="35">
        <v>58</v>
      </c>
      <c r="B44" s="36"/>
      <c r="C44" s="19" t="s">
        <v>202</v>
      </c>
      <c r="D44" s="35" t="s">
        <v>201</v>
      </c>
      <c r="E44" s="35"/>
      <c r="F44" s="38">
        <v>5</v>
      </c>
      <c r="G44" s="37">
        <v>27000</v>
      </c>
      <c r="H44" s="37">
        <v>27000</v>
      </c>
      <c r="I44" s="37">
        <v>50000</v>
      </c>
      <c r="J44" s="39">
        <f t="shared" si="4"/>
        <v>1.8518518518518519</v>
      </c>
      <c r="K44" s="37"/>
      <c r="L44" s="37"/>
    </row>
    <row r="45" spans="1:12" ht="15.6" x14ac:dyDescent="0.3">
      <c r="A45" s="35">
        <v>59</v>
      </c>
      <c r="B45" s="36"/>
      <c r="C45" s="19" t="s">
        <v>203</v>
      </c>
      <c r="D45" s="35" t="s">
        <v>201</v>
      </c>
      <c r="E45" s="35"/>
      <c r="F45" s="38">
        <v>10</v>
      </c>
      <c r="G45" s="37">
        <v>22000</v>
      </c>
      <c r="H45" s="37">
        <v>22000</v>
      </c>
      <c r="I45" s="37">
        <v>40000</v>
      </c>
      <c r="J45" s="39">
        <f t="shared" si="4"/>
        <v>1.8181818181818181</v>
      </c>
      <c r="K45" s="37"/>
      <c r="L45" s="37"/>
    </row>
    <row r="46" spans="1:12" ht="15.6" x14ac:dyDescent="0.3">
      <c r="A46" s="35">
        <v>60</v>
      </c>
      <c r="B46" s="36"/>
      <c r="C46" s="19" t="s">
        <v>204</v>
      </c>
      <c r="D46" s="35" t="s">
        <v>201</v>
      </c>
      <c r="E46" s="35"/>
      <c r="F46" s="38">
        <v>10</v>
      </c>
      <c r="G46" s="37">
        <v>17000</v>
      </c>
      <c r="H46" s="37">
        <v>17000</v>
      </c>
      <c r="I46" s="37">
        <v>35000</v>
      </c>
      <c r="J46" s="39">
        <f t="shared" si="4"/>
        <v>2.0588235294117645</v>
      </c>
      <c r="K46" s="37"/>
      <c r="L46" s="37"/>
    </row>
    <row r="47" spans="1:12" ht="15.6" x14ac:dyDescent="0.3">
      <c r="A47" s="35">
        <v>61</v>
      </c>
      <c r="B47" s="36"/>
      <c r="C47" s="19" t="s">
        <v>205</v>
      </c>
      <c r="D47" s="35" t="s">
        <v>201</v>
      </c>
      <c r="E47" s="35"/>
      <c r="F47" s="38">
        <v>10</v>
      </c>
      <c r="G47" s="37">
        <v>12000</v>
      </c>
      <c r="H47" s="37">
        <v>12000</v>
      </c>
      <c r="I47" s="37">
        <v>30000</v>
      </c>
      <c r="J47" s="39">
        <f t="shared" si="4"/>
        <v>2.5</v>
      </c>
      <c r="K47" s="37"/>
      <c r="L47" s="37"/>
    </row>
    <row r="48" spans="1:12" ht="15.6" x14ac:dyDescent="0.3">
      <c r="A48" s="35"/>
      <c r="B48" s="43" t="s">
        <v>206</v>
      </c>
      <c r="C48" s="46"/>
      <c r="D48" s="44"/>
      <c r="E48" s="44"/>
      <c r="F48" s="44"/>
      <c r="G48" s="45"/>
      <c r="H48" s="45"/>
      <c r="I48" s="45"/>
      <c r="J48" s="45"/>
      <c r="K48" s="45"/>
      <c r="L48" s="45"/>
    </row>
    <row r="49" spans="1:12" ht="46.8" x14ac:dyDescent="0.3">
      <c r="A49" s="35">
        <v>71</v>
      </c>
      <c r="B49" s="36" t="s">
        <v>207</v>
      </c>
      <c r="C49" s="19" t="s">
        <v>208</v>
      </c>
      <c r="D49" s="35"/>
      <c r="E49" s="35"/>
      <c r="F49" s="38">
        <v>1</v>
      </c>
      <c r="G49" s="37">
        <v>310200</v>
      </c>
      <c r="H49" s="37">
        <f t="shared" ref="H49:H58" si="5">G49/14</f>
        <v>22157.142857142859</v>
      </c>
      <c r="I49" s="37" t="s">
        <v>209</v>
      </c>
      <c r="J49" s="37"/>
      <c r="K49" s="37"/>
      <c r="L49" s="37" t="s">
        <v>210</v>
      </c>
    </row>
    <row r="50" spans="1:12" ht="46.8" x14ac:dyDescent="0.3">
      <c r="A50" s="35">
        <v>72</v>
      </c>
      <c r="B50" s="36" t="s">
        <v>211</v>
      </c>
      <c r="C50" s="19" t="s">
        <v>212</v>
      </c>
      <c r="D50" s="35"/>
      <c r="E50" s="35"/>
      <c r="F50" s="38">
        <v>1</v>
      </c>
      <c r="G50" s="37">
        <v>310200</v>
      </c>
      <c r="H50" s="37">
        <f t="shared" si="5"/>
        <v>22157.142857142859</v>
      </c>
      <c r="I50" s="37" t="s">
        <v>209</v>
      </c>
      <c r="J50" s="37"/>
      <c r="K50" s="37"/>
      <c r="L50" s="37" t="s">
        <v>210</v>
      </c>
    </row>
    <row r="51" spans="1:12" ht="46.8" x14ac:dyDescent="0.3">
      <c r="A51" s="35">
        <v>73</v>
      </c>
      <c r="B51" s="36" t="s">
        <v>213</v>
      </c>
      <c r="C51" s="19" t="s">
        <v>214</v>
      </c>
      <c r="D51" s="35"/>
      <c r="E51" s="35"/>
      <c r="F51" s="38">
        <v>6</v>
      </c>
      <c r="G51" s="37">
        <v>310200</v>
      </c>
      <c r="H51" s="37">
        <f t="shared" si="5"/>
        <v>22157.142857142859</v>
      </c>
      <c r="I51" s="37" t="s">
        <v>209</v>
      </c>
      <c r="J51" s="37"/>
      <c r="K51" s="37"/>
      <c r="L51" s="37" t="s">
        <v>210</v>
      </c>
    </row>
    <row r="52" spans="1:12" ht="46.8" x14ac:dyDescent="0.3">
      <c r="A52" s="35">
        <v>74</v>
      </c>
      <c r="B52" s="36" t="s">
        <v>215</v>
      </c>
      <c r="C52" s="19" t="s">
        <v>216</v>
      </c>
      <c r="D52" s="35"/>
      <c r="E52" s="35"/>
      <c r="F52" s="38">
        <v>3</v>
      </c>
      <c r="G52" s="37">
        <v>310200</v>
      </c>
      <c r="H52" s="37">
        <f t="shared" si="5"/>
        <v>22157.142857142859</v>
      </c>
      <c r="I52" s="37" t="s">
        <v>209</v>
      </c>
      <c r="J52" s="37"/>
      <c r="K52" s="37"/>
      <c r="L52" s="37" t="s">
        <v>210</v>
      </c>
    </row>
    <row r="53" spans="1:12" ht="31.2" x14ac:dyDescent="0.3">
      <c r="A53" s="35">
        <v>75</v>
      </c>
      <c r="B53" s="36" t="s">
        <v>217</v>
      </c>
      <c r="C53" s="19" t="s">
        <v>218</v>
      </c>
      <c r="D53" s="35"/>
      <c r="E53" s="35"/>
      <c r="F53" s="38">
        <v>1</v>
      </c>
      <c r="G53" s="37">
        <v>310200</v>
      </c>
      <c r="H53" s="37">
        <f t="shared" si="5"/>
        <v>22157.142857142859</v>
      </c>
      <c r="I53" s="37" t="s">
        <v>209</v>
      </c>
      <c r="J53" s="37"/>
      <c r="K53" s="37"/>
      <c r="L53" s="37" t="s">
        <v>210</v>
      </c>
    </row>
    <row r="54" spans="1:12" ht="46.8" x14ac:dyDescent="0.3">
      <c r="A54" s="35">
        <v>76</v>
      </c>
      <c r="B54" s="36" t="s">
        <v>219</v>
      </c>
      <c r="C54" s="19" t="s">
        <v>220</v>
      </c>
      <c r="D54" s="35"/>
      <c r="E54" s="35"/>
      <c r="F54" s="38">
        <v>3</v>
      </c>
      <c r="G54" s="37">
        <v>310200</v>
      </c>
      <c r="H54" s="37">
        <f t="shared" si="5"/>
        <v>22157.142857142859</v>
      </c>
      <c r="I54" s="37" t="s">
        <v>209</v>
      </c>
      <c r="J54" s="37"/>
      <c r="K54" s="37"/>
      <c r="L54" s="37" t="s">
        <v>210</v>
      </c>
    </row>
    <row r="55" spans="1:12" ht="46.8" x14ac:dyDescent="0.3">
      <c r="A55" s="35">
        <v>77</v>
      </c>
      <c r="B55" s="36" t="s">
        <v>221</v>
      </c>
      <c r="C55" s="19" t="s">
        <v>222</v>
      </c>
      <c r="D55" s="35"/>
      <c r="E55" s="35"/>
      <c r="F55" s="38">
        <v>0</v>
      </c>
      <c r="G55" s="37">
        <v>310200</v>
      </c>
      <c r="H55" s="37">
        <f t="shared" si="5"/>
        <v>22157.142857142859</v>
      </c>
      <c r="I55" s="37" t="s">
        <v>209</v>
      </c>
      <c r="J55" s="37"/>
      <c r="K55" s="37"/>
      <c r="L55" s="37" t="s">
        <v>210</v>
      </c>
    </row>
    <row r="56" spans="1:12" ht="46.8" x14ac:dyDescent="0.3">
      <c r="A56" s="35">
        <v>78</v>
      </c>
      <c r="B56" s="36" t="s">
        <v>223</v>
      </c>
      <c r="C56" s="19" t="s">
        <v>224</v>
      </c>
      <c r="D56" s="35"/>
      <c r="E56" s="35"/>
      <c r="F56" s="38">
        <v>6</v>
      </c>
      <c r="G56" s="37">
        <v>310200</v>
      </c>
      <c r="H56" s="37">
        <f t="shared" si="5"/>
        <v>22157.142857142859</v>
      </c>
      <c r="I56" s="37" t="s">
        <v>209</v>
      </c>
      <c r="J56" s="37"/>
      <c r="K56" s="37"/>
      <c r="L56" s="37" t="s">
        <v>210</v>
      </c>
    </row>
    <row r="57" spans="1:12" ht="46.8" x14ac:dyDescent="0.3">
      <c r="A57" s="35">
        <v>79</v>
      </c>
      <c r="B57" s="36" t="s">
        <v>225</v>
      </c>
      <c r="C57" s="19" t="s">
        <v>226</v>
      </c>
      <c r="D57" s="35"/>
      <c r="E57" s="35"/>
      <c r="F57" s="38">
        <v>3</v>
      </c>
      <c r="G57" s="37">
        <v>330000</v>
      </c>
      <c r="H57" s="37">
        <f t="shared" si="5"/>
        <v>23571.428571428572</v>
      </c>
      <c r="I57" s="37" t="s">
        <v>227</v>
      </c>
      <c r="J57" s="37"/>
      <c r="K57" s="37"/>
      <c r="L57" s="37" t="s">
        <v>210</v>
      </c>
    </row>
    <row r="58" spans="1:12" ht="46.8" x14ac:dyDescent="0.3">
      <c r="A58" s="35">
        <v>80</v>
      </c>
      <c r="B58" s="36" t="s">
        <v>228</v>
      </c>
      <c r="C58" s="19" t="s">
        <v>229</v>
      </c>
      <c r="D58" s="35"/>
      <c r="E58" s="35"/>
      <c r="F58" s="38">
        <v>3</v>
      </c>
      <c r="G58" s="37">
        <v>330000</v>
      </c>
      <c r="H58" s="37">
        <f t="shared" si="5"/>
        <v>23571.428571428572</v>
      </c>
      <c r="I58" s="37" t="s">
        <v>227</v>
      </c>
      <c r="J58" s="37"/>
      <c r="K58" s="37"/>
      <c r="L58" s="37" t="s">
        <v>210</v>
      </c>
    </row>
    <row r="59" spans="1:12" ht="31.2" x14ac:dyDescent="0.3">
      <c r="A59" s="35">
        <v>81</v>
      </c>
      <c r="B59" s="36" t="s">
        <v>230</v>
      </c>
      <c r="C59" s="19" t="s">
        <v>231</v>
      </c>
      <c r="D59" s="35"/>
      <c r="E59" s="35"/>
      <c r="F59" s="38">
        <v>1</v>
      </c>
      <c r="G59" s="37">
        <v>293700</v>
      </c>
      <c r="H59" s="37">
        <f>G59/15</f>
        <v>19580</v>
      </c>
      <c r="I59" s="37" t="s">
        <v>232</v>
      </c>
      <c r="J59" s="37"/>
      <c r="K59" s="37"/>
      <c r="L59" s="37" t="s">
        <v>210</v>
      </c>
    </row>
    <row r="60" spans="1:12" ht="46.8" x14ac:dyDescent="0.3">
      <c r="A60" s="35">
        <v>82</v>
      </c>
      <c r="B60" s="36" t="s">
        <v>233</v>
      </c>
      <c r="C60" s="19" t="s">
        <v>234</v>
      </c>
      <c r="D60" s="35"/>
      <c r="E60" s="35"/>
      <c r="F60" s="38">
        <v>3</v>
      </c>
      <c r="G60" s="37">
        <v>293700</v>
      </c>
      <c r="H60" s="37">
        <f>G60/15</f>
        <v>19580</v>
      </c>
      <c r="I60" s="37" t="s">
        <v>232</v>
      </c>
      <c r="J60" s="37"/>
      <c r="K60" s="37"/>
      <c r="L60" s="37" t="s">
        <v>210</v>
      </c>
    </row>
    <row r="61" spans="1:12" x14ac:dyDescent="0.3">
      <c r="B61" s="40"/>
      <c r="C61" s="40"/>
    </row>
    <row r="62" spans="1:12" x14ac:dyDescent="0.3">
      <c r="B62" s="40"/>
      <c r="C62" s="40"/>
    </row>
    <row r="63" spans="1:12" x14ac:dyDescent="0.3">
      <c r="B63" s="40"/>
      <c r="C63" s="40"/>
    </row>
    <row r="64" spans="1:12" x14ac:dyDescent="0.3">
      <c r="B64" s="40"/>
      <c r="C64" s="40"/>
    </row>
    <row r="65" spans="2:3" x14ac:dyDescent="0.3">
      <c r="B65" s="40"/>
      <c r="C65" s="40"/>
    </row>
    <row r="66" spans="2:3" x14ac:dyDescent="0.3">
      <c r="B66" s="40"/>
      <c r="C66" s="40"/>
    </row>
    <row r="67" spans="2:3" x14ac:dyDescent="0.3">
      <c r="B67" s="40"/>
      <c r="C67" s="40"/>
    </row>
    <row r="68" spans="2:3" x14ac:dyDescent="0.3">
      <c r="B68" s="40"/>
      <c r="C68" s="40"/>
    </row>
    <row r="69" spans="2:3" x14ac:dyDescent="0.3">
      <c r="B69" s="40"/>
      <c r="C69" s="40"/>
    </row>
    <row r="70" spans="2:3" x14ac:dyDescent="0.3">
      <c r="B70" s="40"/>
      <c r="C70" s="40"/>
    </row>
    <row r="71" spans="2:3" x14ac:dyDescent="0.3">
      <c r="B71" s="40"/>
      <c r="C71" s="40"/>
    </row>
    <row r="72" spans="2:3" x14ac:dyDescent="0.3">
      <c r="B72" s="40"/>
      <c r="C72" s="40"/>
    </row>
    <row r="73" spans="2:3" x14ac:dyDescent="0.3">
      <c r="B73" s="40"/>
      <c r="C73" s="40"/>
    </row>
    <row r="74" spans="2:3" x14ac:dyDescent="0.3">
      <c r="B74" s="40"/>
      <c r="C74" s="40"/>
    </row>
    <row r="75" spans="2:3" x14ac:dyDescent="0.3">
      <c r="B75" s="40"/>
      <c r="C75" s="40"/>
    </row>
    <row r="76" spans="2:3" x14ac:dyDescent="0.3">
      <c r="B76" s="40"/>
      <c r="C76" s="40"/>
    </row>
    <row r="77" spans="2:3" x14ac:dyDescent="0.3">
      <c r="B77" s="40"/>
      <c r="C77" s="40"/>
    </row>
    <row r="78" spans="2:3" x14ac:dyDescent="0.3">
      <c r="B78" s="40"/>
      <c r="C78" s="40"/>
    </row>
    <row r="79" spans="2:3" x14ac:dyDescent="0.3">
      <c r="B79" s="40"/>
      <c r="C79" s="40"/>
    </row>
    <row r="80" spans="2:3" x14ac:dyDescent="0.3">
      <c r="B80" s="40"/>
      <c r="C80" s="40"/>
    </row>
    <row r="81" spans="2:3" x14ac:dyDescent="0.3">
      <c r="B81" s="40"/>
      <c r="C81" s="40"/>
    </row>
    <row r="82" spans="2:3" x14ac:dyDescent="0.3">
      <c r="B82" s="40"/>
      <c r="C82" s="40"/>
    </row>
    <row r="83" spans="2:3" x14ac:dyDescent="0.3">
      <c r="B83" s="40"/>
      <c r="C83" s="40"/>
    </row>
    <row r="84" spans="2:3" x14ac:dyDescent="0.3">
      <c r="B84" s="40"/>
      <c r="C84" s="40"/>
    </row>
    <row r="85" spans="2:3" x14ac:dyDescent="0.3">
      <c r="B85" s="40"/>
      <c r="C85" s="40"/>
    </row>
    <row r="86" spans="2:3" x14ac:dyDescent="0.3">
      <c r="B86" s="40"/>
      <c r="C86" s="40"/>
    </row>
    <row r="87" spans="2:3" x14ac:dyDescent="0.3">
      <c r="B87" s="40"/>
      <c r="C87" s="40"/>
    </row>
    <row r="88" spans="2:3" x14ac:dyDescent="0.3">
      <c r="B88" s="40"/>
      <c r="C88" s="40"/>
    </row>
    <row r="89" spans="2:3" x14ac:dyDescent="0.3">
      <c r="B89" s="40"/>
      <c r="C89" s="40"/>
    </row>
    <row r="90" spans="2:3" x14ac:dyDescent="0.3">
      <c r="B90" s="40"/>
      <c r="C90" s="40"/>
    </row>
    <row r="91" spans="2:3" x14ac:dyDescent="0.3">
      <c r="B91" s="40"/>
      <c r="C91" s="40"/>
    </row>
    <row r="92" spans="2:3" x14ac:dyDescent="0.3">
      <c r="B92" s="40"/>
      <c r="C92" s="40"/>
    </row>
    <row r="93" spans="2:3" x14ac:dyDescent="0.3">
      <c r="B93" s="40"/>
      <c r="C93" s="40"/>
    </row>
    <row r="94" spans="2:3" x14ac:dyDescent="0.3">
      <c r="B94" s="40"/>
      <c r="C94" s="40"/>
    </row>
    <row r="95" spans="2:3" x14ac:dyDescent="0.3">
      <c r="B95" s="40"/>
      <c r="C95" s="40"/>
    </row>
    <row r="96" spans="2:3" x14ac:dyDescent="0.3">
      <c r="B96" s="40"/>
      <c r="C96" s="40"/>
    </row>
    <row r="97" spans="2:3" x14ac:dyDescent="0.3">
      <c r="B97" s="40"/>
      <c r="C97" s="40"/>
    </row>
    <row r="98" spans="2:3" x14ac:dyDescent="0.3">
      <c r="B98" s="40"/>
      <c r="C98" s="40"/>
    </row>
    <row r="99" spans="2:3" x14ac:dyDescent="0.3">
      <c r="B99" s="40"/>
      <c r="C99" s="40"/>
    </row>
    <row r="100" spans="2:3" x14ac:dyDescent="0.3">
      <c r="B100" s="40"/>
      <c r="C100" s="40"/>
    </row>
    <row r="101" spans="2:3" x14ac:dyDescent="0.3">
      <c r="B101" s="40"/>
      <c r="C101" s="40"/>
    </row>
    <row r="102" spans="2:3" x14ac:dyDescent="0.3">
      <c r="B102" s="40"/>
      <c r="C102" s="40"/>
    </row>
    <row r="103" spans="2:3" x14ac:dyDescent="0.3">
      <c r="B103" s="40"/>
      <c r="C103" s="40"/>
    </row>
    <row r="104" spans="2:3" x14ac:dyDescent="0.3">
      <c r="B104" s="40"/>
      <c r="C104" s="40"/>
    </row>
    <row r="105" spans="2:3" x14ac:dyDescent="0.3">
      <c r="B105" s="40"/>
      <c r="C105" s="40"/>
    </row>
    <row r="106" spans="2:3" x14ac:dyDescent="0.3">
      <c r="B106" s="40"/>
      <c r="C106" s="40"/>
    </row>
    <row r="107" spans="2:3" x14ac:dyDescent="0.3">
      <c r="B107" s="40"/>
      <c r="C107" s="40"/>
    </row>
    <row r="108" spans="2:3" x14ac:dyDescent="0.3">
      <c r="B108" s="40"/>
      <c r="C108" s="40"/>
    </row>
    <row r="109" spans="2:3" x14ac:dyDescent="0.3">
      <c r="B109" s="40"/>
      <c r="C109" s="40"/>
    </row>
    <row r="110" spans="2:3" x14ac:dyDescent="0.3">
      <c r="B110" s="40"/>
      <c r="C110" s="40"/>
    </row>
    <row r="111" spans="2:3" x14ac:dyDescent="0.3">
      <c r="B111" s="40"/>
      <c r="C111" s="40"/>
    </row>
    <row r="112" spans="2:3" x14ac:dyDescent="0.3">
      <c r="B112" s="40"/>
      <c r="C112" s="40"/>
    </row>
    <row r="113" spans="2:3" x14ac:dyDescent="0.3">
      <c r="B113" s="40"/>
      <c r="C113" s="40"/>
    </row>
    <row r="114" spans="2:3" x14ac:dyDescent="0.3">
      <c r="B114" s="40"/>
      <c r="C114" s="40"/>
    </row>
    <row r="115" spans="2:3" x14ac:dyDescent="0.3">
      <c r="B115" s="40"/>
      <c r="C115" s="40"/>
    </row>
    <row r="116" spans="2:3" x14ac:dyDescent="0.3">
      <c r="B116" s="40"/>
      <c r="C116" s="40"/>
    </row>
    <row r="117" spans="2:3" x14ac:dyDescent="0.3">
      <c r="B117" s="40"/>
      <c r="C117" s="40"/>
    </row>
    <row r="118" spans="2:3" x14ac:dyDescent="0.3">
      <c r="B118" s="40"/>
      <c r="C118" s="40"/>
    </row>
    <row r="119" spans="2:3" x14ac:dyDescent="0.3">
      <c r="B119" s="40"/>
      <c r="C119" s="40"/>
    </row>
    <row r="120" spans="2:3" x14ac:dyDescent="0.3">
      <c r="B120" s="40"/>
      <c r="C120" s="40"/>
    </row>
    <row r="121" spans="2:3" x14ac:dyDescent="0.3">
      <c r="B121" s="40"/>
      <c r="C121" s="40"/>
    </row>
    <row r="122" spans="2:3" x14ac:dyDescent="0.3">
      <c r="B122" s="40"/>
      <c r="C122" s="40"/>
    </row>
    <row r="123" spans="2:3" x14ac:dyDescent="0.3">
      <c r="B123" s="40"/>
      <c r="C123" s="40"/>
    </row>
    <row r="124" spans="2:3" x14ac:dyDescent="0.3">
      <c r="B124" s="40"/>
      <c r="C124" s="40"/>
    </row>
    <row r="125" spans="2:3" x14ac:dyDescent="0.3">
      <c r="B125" s="40"/>
      <c r="C125" s="40"/>
    </row>
    <row r="126" spans="2:3" x14ac:dyDescent="0.3">
      <c r="B126" s="40"/>
      <c r="C126" s="40"/>
    </row>
    <row r="127" spans="2:3" x14ac:dyDescent="0.3">
      <c r="B127" s="40"/>
      <c r="C127" s="40"/>
    </row>
    <row r="128" spans="2:3" x14ac:dyDescent="0.3">
      <c r="B128" s="40"/>
      <c r="C128" s="40"/>
    </row>
    <row r="129" spans="2:3" x14ac:dyDescent="0.3">
      <c r="B129" s="40"/>
      <c r="C129" s="40"/>
    </row>
    <row r="130" spans="2:3" x14ac:dyDescent="0.3">
      <c r="B130" s="40"/>
      <c r="C130" s="40"/>
    </row>
    <row r="131" spans="2:3" x14ac:dyDescent="0.3">
      <c r="B131" s="40"/>
      <c r="C131" s="40"/>
    </row>
    <row r="132" spans="2:3" x14ac:dyDescent="0.3">
      <c r="B132" s="40"/>
      <c r="C132" s="40"/>
    </row>
    <row r="133" spans="2:3" x14ac:dyDescent="0.3">
      <c r="B133" s="40"/>
      <c r="C133" s="40"/>
    </row>
    <row r="134" spans="2:3" x14ac:dyDescent="0.3">
      <c r="B134" s="40"/>
      <c r="C134" s="40"/>
    </row>
    <row r="135" spans="2:3" x14ac:dyDescent="0.3">
      <c r="B135" s="40"/>
      <c r="C135" s="40"/>
    </row>
    <row r="136" spans="2:3" x14ac:dyDescent="0.3">
      <c r="B136" s="40"/>
      <c r="C136" s="40"/>
    </row>
    <row r="137" spans="2:3" x14ac:dyDescent="0.3">
      <c r="B137" s="40"/>
      <c r="C137" s="40"/>
    </row>
    <row r="138" spans="2:3" x14ac:dyDescent="0.3">
      <c r="B138" s="40"/>
      <c r="C138" s="40"/>
    </row>
    <row r="139" spans="2:3" x14ac:dyDescent="0.3">
      <c r="B139" s="40"/>
      <c r="C139" s="40"/>
    </row>
    <row r="140" spans="2:3" x14ac:dyDescent="0.3">
      <c r="B140" s="40"/>
      <c r="C140" s="40"/>
    </row>
    <row r="141" spans="2:3" x14ac:dyDescent="0.3">
      <c r="B141" s="40"/>
      <c r="C141" s="40"/>
    </row>
    <row r="142" spans="2:3" x14ac:dyDescent="0.3">
      <c r="B142" s="40"/>
      <c r="C142" s="40"/>
    </row>
    <row r="143" spans="2:3" x14ac:dyDescent="0.3">
      <c r="B143" s="40"/>
      <c r="C143" s="40"/>
    </row>
    <row r="144" spans="2:3" x14ac:dyDescent="0.3">
      <c r="B144" s="40"/>
      <c r="C144" s="40"/>
    </row>
    <row r="145" spans="2:3" x14ac:dyDescent="0.3">
      <c r="B145" s="40"/>
      <c r="C145" s="40"/>
    </row>
    <row r="146" spans="2:3" x14ac:dyDescent="0.3">
      <c r="B146" s="40"/>
      <c r="C146" s="40"/>
    </row>
    <row r="147" spans="2:3" x14ac:dyDescent="0.3">
      <c r="B147" s="40"/>
      <c r="C147" s="40"/>
    </row>
    <row r="148" spans="2:3" x14ac:dyDescent="0.3">
      <c r="B148" s="40"/>
      <c r="C148" s="40"/>
    </row>
    <row r="149" spans="2:3" x14ac:dyDescent="0.3">
      <c r="B149" s="40"/>
      <c r="C149" s="40"/>
    </row>
    <row r="150" spans="2:3" x14ac:dyDescent="0.3">
      <c r="B150" s="40"/>
      <c r="C150" s="40"/>
    </row>
    <row r="151" spans="2:3" x14ac:dyDescent="0.3">
      <c r="B151" s="40"/>
      <c r="C151" s="40"/>
    </row>
    <row r="152" spans="2:3" x14ac:dyDescent="0.3">
      <c r="B152" s="40"/>
      <c r="C152" s="40"/>
    </row>
    <row r="153" spans="2:3" x14ac:dyDescent="0.3">
      <c r="B153" s="40"/>
      <c r="C153" s="40"/>
    </row>
    <row r="154" spans="2:3" x14ac:dyDescent="0.3">
      <c r="B154" s="40"/>
      <c r="C154" s="40"/>
    </row>
    <row r="155" spans="2:3" x14ac:dyDescent="0.3">
      <c r="B155" s="40"/>
      <c r="C155" s="40"/>
    </row>
    <row r="156" spans="2:3" x14ac:dyDescent="0.3">
      <c r="B156" s="40"/>
      <c r="C156" s="40"/>
    </row>
    <row r="157" spans="2:3" x14ac:dyDescent="0.3">
      <c r="B157" s="40"/>
      <c r="C157" s="40"/>
    </row>
    <row r="158" spans="2:3" x14ac:dyDescent="0.3">
      <c r="B158" s="40"/>
      <c r="C158" s="40"/>
    </row>
    <row r="159" spans="2:3" x14ac:dyDescent="0.3">
      <c r="B159" s="40"/>
      <c r="C159" s="40"/>
    </row>
    <row r="160" spans="2:3" x14ac:dyDescent="0.3">
      <c r="B160" s="40"/>
      <c r="C160" s="40"/>
    </row>
    <row r="161" spans="2:3" x14ac:dyDescent="0.3">
      <c r="B161" s="40"/>
      <c r="C161" s="40"/>
    </row>
    <row r="162" spans="2:3" x14ac:dyDescent="0.3">
      <c r="B162" s="40"/>
      <c r="C162" s="40"/>
    </row>
    <row r="163" spans="2:3" x14ac:dyDescent="0.3">
      <c r="B163" s="40"/>
      <c r="C163" s="40"/>
    </row>
    <row r="164" spans="2:3" x14ac:dyDescent="0.3">
      <c r="B164" s="40"/>
      <c r="C164" s="40"/>
    </row>
    <row r="165" spans="2:3" x14ac:dyDescent="0.3">
      <c r="B165" s="40"/>
      <c r="C165" s="40"/>
    </row>
    <row r="166" spans="2:3" x14ac:dyDescent="0.3">
      <c r="B166" s="40"/>
      <c r="C166" s="40"/>
    </row>
    <row r="167" spans="2:3" x14ac:dyDescent="0.3">
      <c r="B167" s="40"/>
      <c r="C167" s="40"/>
    </row>
    <row r="168" spans="2:3" x14ac:dyDescent="0.3">
      <c r="B168" s="40"/>
      <c r="C168" s="40"/>
    </row>
    <row r="169" spans="2:3" x14ac:dyDescent="0.3">
      <c r="B169" s="40"/>
      <c r="C169" s="40"/>
    </row>
    <row r="170" spans="2:3" x14ac:dyDescent="0.3">
      <c r="B170" s="40"/>
      <c r="C170" s="40"/>
    </row>
    <row r="171" spans="2:3" x14ac:dyDescent="0.3">
      <c r="B171" s="40"/>
      <c r="C171" s="40"/>
    </row>
  </sheetData>
  <mergeCells count="4">
    <mergeCell ref="A1:L1"/>
    <mergeCell ref="L25:L30"/>
    <mergeCell ref="L31:L34"/>
    <mergeCell ref="B38:B4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175"/>
  <sheetViews>
    <sheetView workbookViewId="0">
      <selection activeCell="D79" sqref="D79"/>
    </sheetView>
  </sheetViews>
  <sheetFormatPr defaultColWidth="14" defaultRowHeight="13.8" x14ac:dyDescent="0.3"/>
  <cols>
    <col min="1" max="1" width="9" customWidth="1"/>
    <col min="2" max="2" width="19" customWidth="1"/>
    <col min="3" max="3" width="53" customWidth="1"/>
    <col min="4" max="4" width="31" customWidth="1"/>
    <col min="5" max="17" width="14" customWidth="1"/>
  </cols>
  <sheetData>
    <row r="1" spans="1:17" ht="15.6" x14ac:dyDescent="0.3">
      <c r="A1" s="121" t="s">
        <v>235</v>
      </c>
      <c r="B1" s="121"/>
      <c r="C1" s="122"/>
      <c r="D1" s="123"/>
      <c r="E1" s="29"/>
      <c r="F1" s="29"/>
      <c r="G1" s="29"/>
      <c r="H1" s="29" t="s">
        <v>236</v>
      </c>
      <c r="I1" s="29"/>
      <c r="J1" s="29"/>
      <c r="K1" s="29"/>
      <c r="L1" s="29"/>
      <c r="M1" s="29"/>
      <c r="N1" s="29"/>
      <c r="O1" s="29"/>
      <c r="P1" s="29"/>
      <c r="Q1" s="29"/>
    </row>
    <row r="2" spans="1:17" ht="15.6" x14ac:dyDescent="0.3">
      <c r="A2" s="42" t="s">
        <v>11</v>
      </c>
      <c r="B2" s="119" t="s">
        <v>237</v>
      </c>
      <c r="C2" s="120"/>
      <c r="D2" s="82" t="s">
        <v>238</v>
      </c>
      <c r="E2" s="29"/>
      <c r="F2" s="29"/>
      <c r="G2" s="29"/>
      <c r="H2" s="29" t="s">
        <v>239</v>
      </c>
      <c r="I2" s="29"/>
      <c r="J2" s="29"/>
      <c r="K2" s="29"/>
      <c r="L2" s="29"/>
      <c r="M2" s="29"/>
      <c r="N2" s="29"/>
      <c r="O2" s="29"/>
      <c r="P2" s="29"/>
      <c r="Q2" s="29"/>
    </row>
    <row r="3" spans="1:17" ht="31.2" x14ac:dyDescent="0.3">
      <c r="A3" s="64">
        <v>1</v>
      </c>
      <c r="B3" s="118" t="s">
        <v>240</v>
      </c>
      <c r="C3" s="65" t="s">
        <v>241</v>
      </c>
      <c r="D3" s="66">
        <v>200000</v>
      </c>
      <c r="E3" s="29"/>
      <c r="F3" s="29"/>
      <c r="G3" s="29"/>
      <c r="H3" s="29" t="s">
        <v>242</v>
      </c>
      <c r="I3" s="29"/>
      <c r="J3" s="29"/>
      <c r="K3" s="29"/>
      <c r="L3" s="29"/>
      <c r="M3" s="29"/>
      <c r="N3" s="29"/>
      <c r="O3" s="29"/>
      <c r="P3" s="29"/>
      <c r="Q3" s="29"/>
    </row>
    <row r="4" spans="1:17" ht="15.6" x14ac:dyDescent="0.3">
      <c r="A4" s="64">
        <v>2</v>
      </c>
      <c r="B4" s="118"/>
      <c r="C4" s="65" t="s">
        <v>21</v>
      </c>
      <c r="D4" s="66">
        <v>100000</v>
      </c>
      <c r="E4" s="29"/>
      <c r="F4" s="29"/>
      <c r="G4" s="29"/>
      <c r="H4" s="29" t="s">
        <v>243</v>
      </c>
      <c r="I4" s="29"/>
      <c r="J4" s="29"/>
      <c r="K4" s="29"/>
      <c r="L4" s="29"/>
      <c r="M4" s="29"/>
      <c r="N4" s="29"/>
      <c r="O4" s="29"/>
      <c r="P4" s="29"/>
      <c r="Q4" s="29"/>
    </row>
    <row r="5" spans="1:17" ht="22.05" customHeight="1" x14ac:dyDescent="0.3">
      <c r="A5" s="64">
        <v>3</v>
      </c>
      <c r="B5" s="118"/>
      <c r="C5" s="65" t="s">
        <v>244</v>
      </c>
      <c r="D5" s="66">
        <v>30000</v>
      </c>
      <c r="E5" s="29"/>
      <c r="F5" s="29"/>
      <c r="G5" s="29"/>
      <c r="H5" s="29"/>
      <c r="I5" s="29"/>
      <c r="J5" s="29"/>
      <c r="K5" s="29"/>
      <c r="L5" s="29"/>
      <c r="M5" s="29"/>
      <c r="N5" s="29"/>
      <c r="O5" s="29"/>
      <c r="P5" s="29"/>
      <c r="Q5" s="29"/>
    </row>
    <row r="6" spans="1:17" ht="22.05" customHeight="1" x14ac:dyDescent="0.3">
      <c r="A6" s="64">
        <v>4</v>
      </c>
      <c r="B6" s="118"/>
      <c r="C6" s="65" t="s">
        <v>245</v>
      </c>
      <c r="D6" s="66">
        <v>30000</v>
      </c>
      <c r="E6" s="29"/>
      <c r="F6" s="29"/>
      <c r="G6" s="29"/>
      <c r="H6" s="29"/>
      <c r="I6" s="29"/>
      <c r="J6" s="29"/>
      <c r="K6" s="29"/>
      <c r="L6" s="29"/>
      <c r="M6" s="29"/>
      <c r="N6" s="29"/>
      <c r="O6" s="29"/>
      <c r="P6" s="29"/>
      <c r="Q6" s="29"/>
    </row>
    <row r="7" spans="1:17" ht="22.05" customHeight="1" x14ac:dyDescent="0.3">
      <c r="A7" s="64">
        <v>5</v>
      </c>
      <c r="B7" s="118"/>
      <c r="C7" s="65" t="s">
        <v>35</v>
      </c>
      <c r="D7" s="66">
        <v>120000</v>
      </c>
      <c r="E7" s="29"/>
      <c r="F7" s="29"/>
      <c r="G7" s="29"/>
      <c r="H7" s="29"/>
      <c r="I7" s="29"/>
      <c r="J7" s="29"/>
      <c r="K7" s="29"/>
      <c r="L7" s="29"/>
      <c r="M7" s="29"/>
      <c r="N7" s="29"/>
      <c r="O7" s="29"/>
      <c r="P7" s="29"/>
      <c r="Q7" s="29"/>
    </row>
    <row r="8" spans="1:17" ht="22.05" customHeight="1" x14ac:dyDescent="0.3">
      <c r="A8" s="64">
        <v>6</v>
      </c>
      <c r="B8" s="118"/>
      <c r="C8" s="65" t="s">
        <v>246</v>
      </c>
      <c r="D8" s="66">
        <v>150000</v>
      </c>
      <c r="E8" s="29"/>
      <c r="F8" s="29"/>
      <c r="G8" s="29"/>
      <c r="H8" s="29"/>
      <c r="I8" s="29"/>
      <c r="J8" s="29"/>
      <c r="K8" s="29"/>
      <c r="L8" s="29"/>
      <c r="M8" s="29"/>
      <c r="N8" s="29"/>
      <c r="O8" s="29"/>
      <c r="P8" s="29"/>
      <c r="Q8" s="29"/>
    </row>
    <row r="9" spans="1:17" ht="22.05" customHeight="1" x14ac:dyDescent="0.3">
      <c r="A9" s="64">
        <v>7</v>
      </c>
      <c r="B9" s="117" t="s">
        <v>247</v>
      </c>
      <c r="C9" s="65" t="s">
        <v>248</v>
      </c>
      <c r="D9" s="66">
        <v>300000</v>
      </c>
      <c r="E9" s="29"/>
      <c r="F9" s="29"/>
      <c r="G9" s="29"/>
      <c r="H9" s="29"/>
      <c r="I9" s="29"/>
      <c r="J9" s="29"/>
      <c r="K9" s="29"/>
      <c r="L9" s="29"/>
      <c r="M9" s="29"/>
      <c r="N9" s="29"/>
      <c r="O9" s="29"/>
      <c r="P9" s="29"/>
      <c r="Q9" s="29"/>
    </row>
    <row r="10" spans="1:17" ht="22.05" customHeight="1" x14ac:dyDescent="0.3">
      <c r="A10" s="64">
        <v>8</v>
      </c>
      <c r="B10" s="117"/>
      <c r="C10" s="65" t="s">
        <v>61</v>
      </c>
      <c r="D10" s="66">
        <v>450000</v>
      </c>
      <c r="E10" s="29"/>
      <c r="F10" s="29"/>
      <c r="G10" s="29"/>
      <c r="H10" s="29"/>
      <c r="I10" s="29"/>
      <c r="J10" s="29"/>
      <c r="K10" s="29"/>
      <c r="L10" s="29"/>
      <c r="M10" s="29"/>
      <c r="N10" s="29"/>
      <c r="O10" s="29"/>
      <c r="P10" s="29"/>
      <c r="Q10" s="29"/>
    </row>
    <row r="11" spans="1:17" ht="15.6" x14ac:dyDescent="0.3">
      <c r="A11" s="64">
        <v>9</v>
      </c>
      <c r="B11" s="117" t="s">
        <v>249</v>
      </c>
      <c r="C11" s="65" t="s">
        <v>45</v>
      </c>
      <c r="D11" s="66">
        <v>50000</v>
      </c>
      <c r="E11" s="29"/>
      <c r="F11" s="29"/>
      <c r="G11" s="29"/>
      <c r="H11" s="29"/>
      <c r="I11" s="29"/>
      <c r="J11" s="29"/>
      <c r="K11" s="29"/>
      <c r="L11" s="29"/>
      <c r="M11" s="29"/>
      <c r="N11" s="29"/>
      <c r="O11" s="29"/>
      <c r="P11" s="29"/>
      <c r="Q11" s="29"/>
    </row>
    <row r="12" spans="1:17" ht="15.6" x14ac:dyDescent="0.3">
      <c r="A12" s="64">
        <v>10</v>
      </c>
      <c r="B12" s="117"/>
      <c r="C12" s="65" t="s">
        <v>250</v>
      </c>
      <c r="D12" s="66">
        <v>200000</v>
      </c>
      <c r="E12" s="29"/>
      <c r="F12" s="29"/>
      <c r="G12" s="29"/>
      <c r="H12" s="29"/>
      <c r="I12" s="29"/>
      <c r="J12" s="29"/>
      <c r="K12" s="29"/>
      <c r="L12" s="29"/>
      <c r="M12" s="29"/>
      <c r="N12" s="29"/>
      <c r="O12" s="29"/>
      <c r="P12" s="29"/>
      <c r="Q12" s="29"/>
    </row>
    <row r="13" spans="1:17" ht="15.6" x14ac:dyDescent="0.3">
      <c r="A13" s="64">
        <v>11</v>
      </c>
      <c r="B13" s="117"/>
      <c r="C13" s="65" t="s">
        <v>251</v>
      </c>
      <c r="D13" s="66">
        <v>250000</v>
      </c>
      <c r="E13" s="29"/>
      <c r="F13" s="29"/>
      <c r="G13" s="29"/>
      <c r="H13" s="29"/>
      <c r="I13" s="29"/>
      <c r="J13" s="29"/>
      <c r="K13" s="29"/>
      <c r="L13" s="29"/>
      <c r="M13" s="29"/>
      <c r="N13" s="29"/>
      <c r="O13" s="29"/>
      <c r="P13" s="29"/>
      <c r="Q13" s="29"/>
    </row>
    <row r="14" spans="1:17" ht="15.6" x14ac:dyDescent="0.3">
      <c r="A14" s="64">
        <v>12</v>
      </c>
      <c r="B14" s="117"/>
      <c r="C14" s="65" t="s">
        <v>48</v>
      </c>
      <c r="D14" s="66">
        <v>100000</v>
      </c>
      <c r="E14" s="29"/>
      <c r="F14" s="29"/>
      <c r="G14" s="29"/>
      <c r="H14" s="29"/>
      <c r="I14" s="29"/>
      <c r="J14" s="29"/>
      <c r="K14" s="29"/>
      <c r="L14" s="29"/>
      <c r="M14" s="29"/>
      <c r="N14" s="29"/>
      <c r="O14" s="29"/>
      <c r="P14" s="29"/>
      <c r="Q14" s="29"/>
    </row>
    <row r="15" spans="1:17" ht="15.6" x14ac:dyDescent="0.3">
      <c r="A15" s="64">
        <v>13</v>
      </c>
      <c r="B15" s="117" t="s">
        <v>252</v>
      </c>
      <c r="C15" s="65" t="s">
        <v>253</v>
      </c>
      <c r="D15" s="66">
        <v>250000</v>
      </c>
      <c r="E15" s="29"/>
      <c r="F15" s="29"/>
      <c r="G15" s="29"/>
      <c r="H15" s="29"/>
      <c r="I15" s="29"/>
      <c r="J15" s="29"/>
      <c r="K15" s="29"/>
      <c r="L15" s="29"/>
      <c r="M15" s="29"/>
      <c r="N15" s="29"/>
      <c r="O15" s="29"/>
      <c r="P15" s="29"/>
      <c r="Q15" s="29"/>
    </row>
    <row r="16" spans="1:17" ht="15.6" x14ac:dyDescent="0.3">
      <c r="A16" s="64">
        <v>14</v>
      </c>
      <c r="B16" s="117"/>
      <c r="C16" s="65" t="s">
        <v>254</v>
      </c>
      <c r="D16" s="66">
        <v>250000</v>
      </c>
      <c r="E16" s="29"/>
      <c r="F16" s="29"/>
      <c r="G16" s="29"/>
      <c r="H16" s="29"/>
      <c r="I16" s="29"/>
      <c r="J16" s="29"/>
      <c r="K16" s="29"/>
      <c r="L16" s="29"/>
      <c r="M16" s="29"/>
      <c r="N16" s="29"/>
      <c r="O16" s="29"/>
      <c r="P16" s="29"/>
      <c r="Q16" s="29"/>
    </row>
    <row r="17" spans="1:17" ht="15.6" x14ac:dyDescent="0.3">
      <c r="A17" s="64">
        <v>15</v>
      </c>
      <c r="B17" s="117"/>
      <c r="C17" s="65" t="s">
        <v>63</v>
      </c>
      <c r="D17" s="66">
        <v>500000</v>
      </c>
      <c r="E17" s="29"/>
      <c r="F17" s="29"/>
      <c r="G17" s="29"/>
      <c r="H17" s="29"/>
      <c r="I17" s="29"/>
      <c r="J17" s="29"/>
      <c r="K17" s="29"/>
      <c r="L17" s="29"/>
      <c r="M17" s="29"/>
      <c r="N17" s="29"/>
      <c r="O17" s="29"/>
      <c r="P17" s="29"/>
      <c r="Q17" s="29"/>
    </row>
    <row r="18" spans="1:17" ht="15.6" x14ac:dyDescent="0.3">
      <c r="A18" s="64">
        <v>16</v>
      </c>
      <c r="B18" s="124" t="s">
        <v>255</v>
      </c>
      <c r="C18" s="65" t="s">
        <v>64</v>
      </c>
      <c r="D18" s="66">
        <v>500000</v>
      </c>
      <c r="E18" s="29"/>
      <c r="F18" s="29"/>
      <c r="G18" s="29"/>
      <c r="H18" s="29"/>
      <c r="I18" s="29"/>
      <c r="J18" s="29"/>
      <c r="K18" s="29"/>
      <c r="L18" s="29"/>
      <c r="M18" s="29"/>
      <c r="N18" s="29"/>
      <c r="O18" s="29"/>
      <c r="P18" s="29"/>
      <c r="Q18" s="29"/>
    </row>
    <row r="19" spans="1:17" ht="15.6" x14ac:dyDescent="0.3">
      <c r="A19" s="64">
        <v>17</v>
      </c>
      <c r="B19" s="124"/>
      <c r="C19" s="65" t="s">
        <v>256</v>
      </c>
      <c r="D19" s="66">
        <v>250000</v>
      </c>
      <c r="E19" s="29"/>
      <c r="F19" s="29"/>
      <c r="G19" s="29"/>
      <c r="H19" s="29"/>
      <c r="I19" s="29"/>
      <c r="J19" s="29"/>
      <c r="K19" s="29"/>
      <c r="L19" s="29"/>
      <c r="M19" s="29"/>
      <c r="N19" s="29"/>
      <c r="O19" s="29"/>
      <c r="P19" s="29"/>
      <c r="Q19" s="29"/>
    </row>
    <row r="20" spans="1:17" ht="62.4" x14ac:dyDescent="0.3">
      <c r="A20" s="64">
        <v>29</v>
      </c>
      <c r="B20" s="124" t="s">
        <v>257</v>
      </c>
      <c r="C20" s="65" t="s">
        <v>258</v>
      </c>
      <c r="D20" s="66">
        <v>700000</v>
      </c>
      <c r="E20" s="29"/>
      <c r="F20" s="29"/>
      <c r="G20" s="29"/>
      <c r="H20" s="29"/>
      <c r="I20" s="29"/>
      <c r="J20" s="29"/>
      <c r="K20" s="29"/>
      <c r="L20" s="29"/>
      <c r="M20" s="29"/>
      <c r="N20" s="29"/>
      <c r="O20" s="29"/>
      <c r="P20" s="29"/>
      <c r="Q20" s="29"/>
    </row>
    <row r="21" spans="1:17" ht="202.8" x14ac:dyDescent="0.3">
      <c r="A21" s="64">
        <v>30</v>
      </c>
      <c r="B21" s="124"/>
      <c r="C21" s="65" t="s">
        <v>259</v>
      </c>
      <c r="D21" s="66">
        <v>700000</v>
      </c>
      <c r="E21" s="29"/>
      <c r="F21" s="29"/>
      <c r="G21" s="29"/>
      <c r="H21" s="29"/>
      <c r="I21" s="29"/>
      <c r="J21" s="29"/>
      <c r="K21" s="29"/>
      <c r="L21" s="29"/>
      <c r="M21" s="29"/>
      <c r="N21" s="29"/>
      <c r="O21" s="29"/>
      <c r="P21" s="29"/>
      <c r="Q21" s="29"/>
    </row>
    <row r="22" spans="1:17" ht="31.2" x14ac:dyDescent="0.3">
      <c r="A22" s="64">
        <v>31</v>
      </c>
      <c r="B22" s="67" t="s">
        <v>260</v>
      </c>
      <c r="C22" s="65" t="s">
        <v>261</v>
      </c>
      <c r="D22" s="66">
        <v>300000</v>
      </c>
      <c r="E22" s="29"/>
      <c r="F22" s="29"/>
      <c r="G22" s="29"/>
      <c r="H22" s="29"/>
      <c r="I22" s="29"/>
      <c r="J22" s="29"/>
      <c r="K22" s="29"/>
      <c r="L22" s="29"/>
      <c r="M22" s="29"/>
      <c r="N22" s="29"/>
      <c r="O22" s="29"/>
      <c r="P22" s="29"/>
      <c r="Q22" s="29"/>
    </row>
    <row r="23" spans="1:17" ht="15.6" x14ac:dyDescent="0.3">
      <c r="A23" s="64">
        <v>32</v>
      </c>
      <c r="B23" s="67" t="s">
        <v>262</v>
      </c>
      <c r="C23" s="65" t="s">
        <v>65</v>
      </c>
      <c r="D23" s="66">
        <v>400000</v>
      </c>
      <c r="E23" s="29"/>
      <c r="F23" s="29"/>
      <c r="G23" s="29"/>
      <c r="H23" s="29"/>
      <c r="I23" s="29"/>
      <c r="J23" s="29"/>
      <c r="K23" s="29"/>
      <c r="L23" s="29"/>
      <c r="M23" s="29"/>
      <c r="N23" s="29"/>
      <c r="O23" s="29"/>
      <c r="P23" s="29"/>
      <c r="Q23" s="29"/>
    </row>
    <row r="24" spans="1:17" ht="15.6" x14ac:dyDescent="0.3">
      <c r="A24" s="64">
        <v>33</v>
      </c>
      <c r="B24" s="125" t="s">
        <v>263</v>
      </c>
      <c r="C24" s="65" t="s">
        <v>264</v>
      </c>
      <c r="D24" s="66">
        <v>350000</v>
      </c>
      <c r="E24" s="29"/>
      <c r="F24" s="29"/>
      <c r="G24" s="29"/>
      <c r="H24" s="29"/>
      <c r="I24" s="29"/>
      <c r="J24" s="29"/>
      <c r="K24" s="29"/>
      <c r="L24" s="29"/>
      <c r="M24" s="29"/>
      <c r="N24" s="29"/>
      <c r="O24" s="29"/>
      <c r="P24" s="29"/>
      <c r="Q24" s="29"/>
    </row>
    <row r="25" spans="1:17" ht="15.6" x14ac:dyDescent="0.3">
      <c r="A25" s="64">
        <v>34</v>
      </c>
      <c r="B25" s="125"/>
      <c r="C25" s="65" t="s">
        <v>265</v>
      </c>
      <c r="D25" s="66">
        <v>350000</v>
      </c>
      <c r="E25" s="29"/>
      <c r="F25" s="29"/>
      <c r="G25" s="29"/>
      <c r="H25" s="29"/>
      <c r="I25" s="29"/>
      <c r="J25" s="29"/>
      <c r="K25" s="29"/>
      <c r="L25" s="29"/>
      <c r="M25" s="29"/>
      <c r="N25" s="29"/>
      <c r="O25" s="29"/>
      <c r="P25" s="29"/>
      <c r="Q25" s="29"/>
    </row>
    <row r="26" spans="1:17" ht="15.6" x14ac:dyDescent="0.3">
      <c r="A26" s="64">
        <v>35</v>
      </c>
      <c r="B26" s="125"/>
      <c r="C26" s="65" t="s">
        <v>266</v>
      </c>
      <c r="D26" s="66">
        <v>350000</v>
      </c>
      <c r="E26" s="29"/>
      <c r="F26" s="29"/>
      <c r="G26" s="29"/>
      <c r="H26" s="29"/>
      <c r="I26" s="29"/>
      <c r="J26" s="29"/>
      <c r="K26" s="29"/>
      <c r="L26" s="29"/>
      <c r="M26" s="29"/>
      <c r="N26" s="29"/>
      <c r="O26" s="29"/>
      <c r="P26" s="29"/>
      <c r="Q26" s="29"/>
    </row>
    <row r="27" spans="1:17" ht="15.6" x14ac:dyDescent="0.3">
      <c r="A27" s="64">
        <v>36</v>
      </c>
      <c r="B27" s="125"/>
      <c r="C27" s="65" t="s">
        <v>267</v>
      </c>
      <c r="D27" s="66">
        <v>350000</v>
      </c>
      <c r="E27" s="29"/>
      <c r="F27" s="29"/>
      <c r="G27" s="29"/>
      <c r="H27" s="29"/>
      <c r="I27" s="29"/>
      <c r="J27" s="29"/>
      <c r="K27" s="29"/>
      <c r="L27" s="29"/>
      <c r="M27" s="29"/>
      <c r="N27" s="29"/>
      <c r="O27" s="29"/>
      <c r="P27" s="29"/>
      <c r="Q27" s="29"/>
    </row>
    <row r="28" spans="1:17" ht="15.6" x14ac:dyDescent="0.3">
      <c r="A28" s="64">
        <v>37</v>
      </c>
      <c r="B28" s="125"/>
      <c r="C28" s="65" t="s">
        <v>268</v>
      </c>
      <c r="D28" s="66">
        <v>350000</v>
      </c>
      <c r="E28" s="29"/>
      <c r="F28" s="29"/>
      <c r="G28" s="29"/>
      <c r="H28" s="29"/>
      <c r="I28" s="29"/>
      <c r="J28" s="29"/>
      <c r="K28" s="29"/>
      <c r="L28" s="29"/>
      <c r="M28" s="29"/>
      <c r="N28" s="29"/>
      <c r="O28" s="29"/>
      <c r="P28" s="29"/>
      <c r="Q28" s="29"/>
    </row>
    <row r="29" spans="1:17" ht="15.6" x14ac:dyDescent="0.3">
      <c r="A29" s="64">
        <v>38</v>
      </c>
      <c r="B29" s="125"/>
      <c r="C29" s="65" t="s">
        <v>269</v>
      </c>
      <c r="D29" s="66">
        <v>350000</v>
      </c>
      <c r="E29" s="29"/>
      <c r="F29" s="29"/>
      <c r="G29" s="29"/>
      <c r="H29" s="29"/>
      <c r="I29" s="29"/>
      <c r="J29" s="29"/>
      <c r="K29" s="29"/>
      <c r="L29" s="29"/>
      <c r="M29" s="29"/>
      <c r="N29" s="29"/>
      <c r="O29" s="29"/>
      <c r="P29" s="29"/>
      <c r="Q29" s="29"/>
    </row>
    <row r="30" spans="1:17" ht="15.6" x14ac:dyDescent="0.3">
      <c r="A30" s="64">
        <v>39</v>
      </c>
      <c r="B30" s="125"/>
      <c r="C30" s="65" t="s">
        <v>81</v>
      </c>
      <c r="D30" s="66">
        <v>350000</v>
      </c>
      <c r="E30" s="29"/>
      <c r="F30" s="29"/>
      <c r="G30" s="29"/>
      <c r="H30" s="29"/>
      <c r="I30" s="29"/>
      <c r="J30" s="29"/>
      <c r="K30" s="29"/>
      <c r="L30" s="29"/>
      <c r="M30" s="29"/>
      <c r="N30" s="29"/>
      <c r="O30" s="29"/>
      <c r="P30" s="29"/>
      <c r="Q30" s="29"/>
    </row>
    <row r="31" spans="1:17" ht="15.6" x14ac:dyDescent="0.3">
      <c r="A31" s="64">
        <v>40</v>
      </c>
      <c r="B31" s="125"/>
      <c r="C31" s="65" t="s">
        <v>270</v>
      </c>
      <c r="D31" s="66">
        <v>350000</v>
      </c>
      <c r="E31" s="29"/>
      <c r="F31" s="29"/>
      <c r="G31" s="29"/>
      <c r="H31" s="29"/>
      <c r="I31" s="29"/>
      <c r="J31" s="29"/>
      <c r="K31" s="29"/>
      <c r="L31" s="29"/>
      <c r="M31" s="29"/>
      <c r="N31" s="29"/>
      <c r="O31" s="29"/>
      <c r="P31" s="29"/>
      <c r="Q31" s="29"/>
    </row>
    <row r="32" spans="1:17" ht="31.2" x14ac:dyDescent="0.3">
      <c r="A32" s="64">
        <v>41</v>
      </c>
      <c r="B32" s="125"/>
      <c r="C32" s="65" t="s">
        <v>82</v>
      </c>
      <c r="D32" s="66">
        <v>350000</v>
      </c>
      <c r="E32" s="29"/>
      <c r="F32" s="29"/>
      <c r="G32" s="29"/>
      <c r="H32" s="29"/>
      <c r="I32" s="29"/>
      <c r="J32" s="29"/>
      <c r="K32" s="29"/>
      <c r="L32" s="29"/>
      <c r="M32" s="29"/>
      <c r="N32" s="29"/>
      <c r="O32" s="29"/>
      <c r="P32" s="29"/>
      <c r="Q32" s="29"/>
    </row>
    <row r="33" spans="1:17" ht="15.6" x14ac:dyDescent="0.3">
      <c r="A33" s="64">
        <v>42</v>
      </c>
      <c r="B33" s="125"/>
      <c r="C33" s="65" t="s">
        <v>72</v>
      </c>
      <c r="D33" s="66">
        <v>350000</v>
      </c>
      <c r="E33" s="29"/>
      <c r="F33" s="29"/>
      <c r="G33" s="29"/>
      <c r="H33" s="29"/>
      <c r="I33" s="29"/>
      <c r="J33" s="29"/>
      <c r="K33" s="29"/>
      <c r="L33" s="29"/>
      <c r="M33" s="29"/>
      <c r="N33" s="29"/>
      <c r="O33" s="29"/>
      <c r="P33" s="29"/>
      <c r="Q33" s="29"/>
    </row>
    <row r="34" spans="1:17" ht="15.6" x14ac:dyDescent="0.3">
      <c r="A34" s="64">
        <v>43</v>
      </c>
      <c r="B34" s="125"/>
      <c r="C34" s="65" t="s">
        <v>73</v>
      </c>
      <c r="D34" s="66">
        <v>350000</v>
      </c>
      <c r="E34" s="29"/>
      <c r="F34" s="29"/>
      <c r="G34" s="29"/>
      <c r="H34" s="29"/>
      <c r="I34" s="29"/>
      <c r="J34" s="29"/>
      <c r="K34" s="29"/>
      <c r="L34" s="29"/>
      <c r="M34" s="29"/>
      <c r="N34" s="29"/>
      <c r="O34" s="29"/>
      <c r="P34" s="29"/>
      <c r="Q34" s="29"/>
    </row>
    <row r="35" spans="1:17" ht="15.6" x14ac:dyDescent="0.3">
      <c r="A35" s="64">
        <v>44</v>
      </c>
      <c r="B35" s="125"/>
      <c r="C35" s="65" t="s">
        <v>271</v>
      </c>
      <c r="D35" s="66">
        <v>350000</v>
      </c>
      <c r="E35" s="29"/>
      <c r="F35" s="29"/>
      <c r="G35" s="29"/>
      <c r="H35" s="29"/>
      <c r="I35" s="29"/>
      <c r="J35" s="29"/>
      <c r="K35" s="29"/>
      <c r="L35" s="29"/>
      <c r="M35" s="29"/>
      <c r="N35" s="29"/>
      <c r="O35" s="29"/>
      <c r="P35" s="29"/>
      <c r="Q35" s="29"/>
    </row>
    <row r="36" spans="1:17" ht="15.6" x14ac:dyDescent="0.3">
      <c r="A36" s="64">
        <v>45</v>
      </c>
      <c r="B36" s="125"/>
      <c r="C36" s="65" t="s">
        <v>272</v>
      </c>
      <c r="D36" s="66">
        <v>350000</v>
      </c>
      <c r="E36" s="29"/>
      <c r="F36" s="29"/>
      <c r="G36" s="29"/>
      <c r="H36" s="29"/>
      <c r="I36" s="29"/>
      <c r="J36" s="29"/>
      <c r="K36" s="29"/>
      <c r="L36" s="29"/>
      <c r="M36" s="29"/>
      <c r="N36" s="29"/>
      <c r="O36" s="29"/>
      <c r="P36" s="29"/>
      <c r="Q36" s="29"/>
    </row>
    <row r="37" spans="1:17" ht="15.6" x14ac:dyDescent="0.3">
      <c r="A37" s="64">
        <v>46</v>
      </c>
      <c r="B37" s="125"/>
      <c r="C37" s="65" t="s">
        <v>83</v>
      </c>
      <c r="D37" s="66">
        <v>350000</v>
      </c>
      <c r="E37" s="29"/>
      <c r="F37" s="29"/>
      <c r="G37" s="29"/>
      <c r="H37" s="29"/>
      <c r="I37" s="29"/>
      <c r="J37" s="29"/>
      <c r="K37" s="29"/>
      <c r="L37" s="29"/>
      <c r="M37" s="29"/>
      <c r="N37" s="29"/>
      <c r="O37" s="29"/>
      <c r="P37" s="29"/>
      <c r="Q37" s="29"/>
    </row>
    <row r="38" spans="1:17" ht="15.6" x14ac:dyDescent="0.3">
      <c r="A38" s="64">
        <v>47</v>
      </c>
      <c r="B38" s="117" t="s">
        <v>273</v>
      </c>
      <c r="C38" s="65" t="s">
        <v>274</v>
      </c>
      <c r="D38" s="66">
        <v>600000</v>
      </c>
      <c r="E38" s="29"/>
      <c r="F38" s="29"/>
      <c r="G38" s="29"/>
      <c r="H38" s="29"/>
      <c r="I38" s="29"/>
      <c r="J38" s="29"/>
      <c r="K38" s="29"/>
      <c r="L38" s="29"/>
      <c r="M38" s="29"/>
      <c r="N38" s="29"/>
      <c r="O38" s="29"/>
      <c r="P38" s="29"/>
      <c r="Q38" s="29"/>
    </row>
    <row r="39" spans="1:17" ht="15.6" x14ac:dyDescent="0.3">
      <c r="A39" s="64">
        <v>48</v>
      </c>
      <c r="B39" s="117"/>
      <c r="C39" s="65" t="s">
        <v>275</v>
      </c>
      <c r="D39" s="66">
        <v>600000</v>
      </c>
      <c r="E39" s="29"/>
      <c r="F39" s="29"/>
      <c r="G39" s="29"/>
      <c r="H39" s="29"/>
      <c r="I39" s="29"/>
      <c r="J39" s="29"/>
      <c r="K39" s="29"/>
      <c r="L39" s="29"/>
      <c r="M39" s="29"/>
      <c r="N39" s="29"/>
      <c r="O39" s="29"/>
      <c r="P39" s="29"/>
      <c r="Q39" s="29"/>
    </row>
    <row r="40" spans="1:17" ht="15.6" x14ac:dyDescent="0.3">
      <c r="A40" s="64">
        <v>49</v>
      </c>
      <c r="B40" s="117"/>
      <c r="C40" s="65" t="s">
        <v>276</v>
      </c>
      <c r="D40" s="66">
        <v>600000</v>
      </c>
      <c r="E40" s="29"/>
      <c r="F40" s="29"/>
      <c r="G40" s="29"/>
      <c r="H40" s="29"/>
      <c r="I40" s="29"/>
      <c r="J40" s="29"/>
      <c r="K40" s="29"/>
      <c r="L40" s="29"/>
      <c r="M40" s="29"/>
      <c r="N40" s="29"/>
      <c r="O40" s="29"/>
      <c r="P40" s="29"/>
      <c r="Q40" s="29"/>
    </row>
    <row r="41" spans="1:17" ht="15.6" x14ac:dyDescent="0.3">
      <c r="A41" s="64">
        <v>50</v>
      </c>
      <c r="B41" s="117"/>
      <c r="C41" s="65" t="s">
        <v>277</v>
      </c>
      <c r="D41" s="66">
        <v>600000</v>
      </c>
      <c r="E41" s="29"/>
      <c r="F41" s="29"/>
      <c r="G41" s="29"/>
      <c r="H41" s="29"/>
      <c r="I41" s="29"/>
      <c r="J41" s="29"/>
      <c r="K41" s="29"/>
      <c r="L41" s="29"/>
      <c r="M41" s="29"/>
      <c r="N41" s="29"/>
      <c r="O41" s="29"/>
      <c r="P41" s="29"/>
      <c r="Q41" s="29"/>
    </row>
    <row r="42" spans="1:17" ht="15.6" x14ac:dyDescent="0.3">
      <c r="A42" s="64">
        <v>51</v>
      </c>
      <c r="B42" s="126" t="s">
        <v>278</v>
      </c>
      <c r="C42" s="65" t="s">
        <v>279</v>
      </c>
      <c r="D42" s="66">
        <v>300000</v>
      </c>
      <c r="E42" s="29"/>
      <c r="F42" s="29"/>
      <c r="G42" s="29"/>
      <c r="H42" s="29"/>
      <c r="I42" s="29"/>
      <c r="J42" s="29"/>
      <c r="K42" s="29"/>
      <c r="L42" s="29"/>
      <c r="M42" s="29"/>
      <c r="N42" s="29"/>
      <c r="O42" s="29"/>
      <c r="P42" s="29"/>
      <c r="Q42" s="29"/>
    </row>
    <row r="43" spans="1:17" ht="15.6" x14ac:dyDescent="0.3">
      <c r="A43" s="64">
        <v>52</v>
      </c>
      <c r="B43" s="126"/>
      <c r="C43" s="65" t="s">
        <v>280</v>
      </c>
      <c r="D43" s="66">
        <v>400000</v>
      </c>
      <c r="E43" s="29"/>
      <c r="F43" s="29"/>
      <c r="G43" s="29"/>
      <c r="H43" s="29"/>
      <c r="I43" s="29"/>
      <c r="J43" s="29"/>
      <c r="K43" s="29"/>
      <c r="L43" s="29"/>
      <c r="M43" s="29"/>
      <c r="N43" s="29"/>
      <c r="O43" s="29"/>
      <c r="P43" s="29"/>
      <c r="Q43" s="29"/>
    </row>
    <row r="44" spans="1:17" ht="15.6" x14ac:dyDescent="0.3">
      <c r="A44" s="64">
        <v>53</v>
      </c>
      <c r="B44" s="126"/>
      <c r="C44" s="65" t="s">
        <v>281</v>
      </c>
      <c r="D44" s="66">
        <v>550000</v>
      </c>
      <c r="E44" s="29"/>
      <c r="F44" s="29"/>
      <c r="G44" s="29"/>
      <c r="H44" s="29"/>
      <c r="I44" s="29"/>
      <c r="J44" s="29"/>
      <c r="K44" s="29"/>
      <c r="L44" s="29"/>
      <c r="M44" s="29"/>
      <c r="N44" s="29"/>
      <c r="O44" s="29"/>
      <c r="P44" s="29"/>
      <c r="Q44" s="29"/>
    </row>
    <row r="45" spans="1:17" ht="15.6" x14ac:dyDescent="0.3">
      <c r="A45" s="64">
        <v>54</v>
      </c>
      <c r="B45" s="126" t="s">
        <v>282</v>
      </c>
      <c r="C45" s="65" t="s">
        <v>283</v>
      </c>
      <c r="D45" s="66">
        <v>200000</v>
      </c>
      <c r="E45" s="29"/>
      <c r="F45" s="29"/>
      <c r="G45" s="29"/>
      <c r="H45" s="29"/>
      <c r="I45" s="29"/>
      <c r="J45" s="29"/>
      <c r="K45" s="29"/>
      <c r="L45" s="29"/>
      <c r="M45" s="29"/>
      <c r="N45" s="29"/>
      <c r="O45" s="29"/>
      <c r="P45" s="29"/>
      <c r="Q45" s="29"/>
    </row>
    <row r="46" spans="1:17" ht="15.6" x14ac:dyDescent="0.3">
      <c r="A46" s="64">
        <v>55</v>
      </c>
      <c r="B46" s="126"/>
      <c r="C46" s="65" t="s">
        <v>284</v>
      </c>
      <c r="D46" s="66">
        <v>300000</v>
      </c>
      <c r="E46" s="29"/>
      <c r="F46" s="29"/>
      <c r="G46" s="29"/>
      <c r="H46" s="29"/>
      <c r="I46" s="29"/>
      <c r="J46" s="29"/>
      <c r="K46" s="29"/>
      <c r="L46" s="29"/>
      <c r="M46" s="29"/>
      <c r="N46" s="29"/>
      <c r="O46" s="29"/>
      <c r="P46" s="29"/>
      <c r="Q46" s="29"/>
    </row>
    <row r="47" spans="1:17" ht="15.6" x14ac:dyDescent="0.3">
      <c r="A47" s="64">
        <v>56</v>
      </c>
      <c r="B47" s="126" t="s">
        <v>285</v>
      </c>
      <c r="C47" s="65" t="s">
        <v>286</v>
      </c>
      <c r="D47" s="66">
        <v>600000</v>
      </c>
      <c r="E47" s="29"/>
      <c r="F47" s="29"/>
      <c r="G47" s="29"/>
      <c r="H47" s="29"/>
      <c r="I47" s="29"/>
      <c r="J47" s="29"/>
      <c r="K47" s="29"/>
      <c r="L47" s="29"/>
      <c r="M47" s="29"/>
      <c r="N47" s="29"/>
      <c r="O47" s="29"/>
      <c r="P47" s="29"/>
      <c r="Q47" s="29"/>
    </row>
    <row r="48" spans="1:17" ht="15.6" x14ac:dyDescent="0.3">
      <c r="A48" s="64">
        <v>57</v>
      </c>
      <c r="B48" s="126"/>
      <c r="C48" s="65" t="s">
        <v>287</v>
      </c>
      <c r="D48" s="66">
        <v>750000</v>
      </c>
      <c r="E48" s="29"/>
      <c r="F48" s="29"/>
      <c r="G48" s="29"/>
      <c r="H48" s="29"/>
      <c r="I48" s="29"/>
      <c r="J48" s="29"/>
      <c r="K48" s="29"/>
      <c r="L48" s="29"/>
      <c r="M48" s="29"/>
      <c r="N48" s="29"/>
      <c r="O48" s="29"/>
      <c r="P48" s="29"/>
      <c r="Q48" s="29"/>
    </row>
    <row r="49" spans="1:20" ht="15.6" x14ac:dyDescent="0.3">
      <c r="A49" s="64">
        <v>58</v>
      </c>
      <c r="B49" s="126"/>
      <c r="C49" s="65" t="s">
        <v>288</v>
      </c>
      <c r="D49" s="66">
        <v>900000</v>
      </c>
      <c r="E49" s="29"/>
      <c r="F49" s="29"/>
      <c r="G49" s="29"/>
      <c r="H49" s="29"/>
      <c r="I49" s="29"/>
      <c r="J49" s="29"/>
      <c r="K49" s="29"/>
      <c r="L49" s="29"/>
      <c r="M49" s="29"/>
      <c r="N49" s="29"/>
      <c r="O49" s="29"/>
      <c r="P49" s="29"/>
      <c r="Q49" s="29"/>
    </row>
    <row r="50" spans="1:20" ht="15.6" x14ac:dyDescent="0.3">
      <c r="A50" s="64">
        <v>59</v>
      </c>
      <c r="B50" s="126" t="s">
        <v>289</v>
      </c>
      <c r="C50" s="65" t="s">
        <v>290</v>
      </c>
      <c r="D50" s="66">
        <v>500000</v>
      </c>
      <c r="E50" s="29"/>
      <c r="F50" s="29"/>
      <c r="G50" s="29"/>
      <c r="H50" s="29"/>
      <c r="I50" s="29"/>
      <c r="J50" s="29"/>
      <c r="K50" s="29"/>
      <c r="L50" s="29"/>
      <c r="M50" s="29"/>
      <c r="N50" s="29"/>
      <c r="O50" s="29"/>
      <c r="P50" s="29"/>
      <c r="Q50" s="29"/>
    </row>
    <row r="51" spans="1:20" ht="15.6" x14ac:dyDescent="0.3">
      <c r="A51" s="64">
        <v>60</v>
      </c>
      <c r="B51" s="126"/>
      <c r="C51" s="65" t="s">
        <v>291</v>
      </c>
      <c r="D51" s="66">
        <v>600000</v>
      </c>
      <c r="E51" s="29"/>
      <c r="F51" s="29"/>
      <c r="G51" s="29"/>
      <c r="H51" s="29"/>
      <c r="I51" s="29"/>
      <c r="J51" s="29"/>
      <c r="K51" s="29"/>
      <c r="L51" s="29"/>
      <c r="M51" s="29"/>
      <c r="N51" s="29"/>
      <c r="O51" s="29"/>
      <c r="P51" s="29"/>
      <c r="Q51" s="29"/>
    </row>
    <row r="52" spans="1:20" ht="15.6" x14ac:dyDescent="0.3">
      <c r="A52" s="64">
        <v>61</v>
      </c>
      <c r="B52" s="126" t="s">
        <v>292</v>
      </c>
      <c r="C52" s="65" t="s">
        <v>293</v>
      </c>
      <c r="D52" s="73" t="s">
        <v>294</v>
      </c>
      <c r="E52" s="29"/>
      <c r="F52" s="29"/>
      <c r="G52" s="29"/>
      <c r="H52" s="29"/>
      <c r="I52" s="29"/>
      <c r="J52" s="29"/>
      <c r="K52" s="29"/>
      <c r="L52" s="29"/>
      <c r="M52" s="29"/>
      <c r="N52" s="29"/>
      <c r="O52" s="29"/>
      <c r="P52" s="29"/>
      <c r="Q52" s="29"/>
    </row>
    <row r="53" spans="1:20" ht="15.6" x14ac:dyDescent="0.3">
      <c r="A53" s="64">
        <v>62</v>
      </c>
      <c r="B53" s="126"/>
      <c r="C53" s="65" t="s">
        <v>295</v>
      </c>
      <c r="D53" s="73" t="s">
        <v>296</v>
      </c>
      <c r="E53" s="29"/>
      <c r="F53" s="29"/>
      <c r="G53" s="29"/>
      <c r="H53" s="29"/>
      <c r="I53" s="29"/>
      <c r="J53" s="29"/>
      <c r="K53" s="29"/>
      <c r="L53" s="29"/>
      <c r="M53" s="29"/>
      <c r="N53" s="29"/>
      <c r="O53" s="29"/>
      <c r="P53" s="29"/>
      <c r="Q53" s="29"/>
    </row>
    <row r="54" spans="1:20" ht="15.6" x14ac:dyDescent="0.3">
      <c r="A54" s="64">
        <v>63</v>
      </c>
      <c r="B54" s="126"/>
      <c r="C54" s="65" t="s">
        <v>297</v>
      </c>
      <c r="D54" s="73" t="s">
        <v>298</v>
      </c>
      <c r="E54" s="29"/>
      <c r="F54" s="29"/>
      <c r="G54" s="29"/>
      <c r="H54" s="29"/>
      <c r="I54" s="29"/>
      <c r="J54" s="29"/>
      <c r="K54" s="29"/>
      <c r="L54" s="29"/>
      <c r="M54" s="29"/>
      <c r="N54" s="29"/>
      <c r="O54" s="29"/>
      <c r="P54" s="29"/>
      <c r="Q54" s="29"/>
    </row>
    <row r="55" spans="1:20" ht="15.6" x14ac:dyDescent="0.3">
      <c r="A55" s="64">
        <v>64</v>
      </c>
      <c r="B55" s="126"/>
      <c r="C55" s="65" t="s">
        <v>299</v>
      </c>
      <c r="D55" s="73" t="s">
        <v>294</v>
      </c>
      <c r="E55" s="29"/>
      <c r="F55" s="29"/>
      <c r="G55" s="29"/>
      <c r="H55" s="29"/>
      <c r="I55" s="29"/>
      <c r="J55" s="29"/>
      <c r="K55" s="29"/>
      <c r="L55" s="29"/>
      <c r="M55" s="29"/>
      <c r="N55" s="29"/>
      <c r="O55" s="29"/>
      <c r="P55" s="29"/>
      <c r="Q55" s="29"/>
    </row>
    <row r="56" spans="1:20" ht="15.6" x14ac:dyDescent="0.3">
      <c r="A56" s="64">
        <v>65</v>
      </c>
      <c r="B56" s="126"/>
      <c r="C56" s="65" t="s">
        <v>300</v>
      </c>
      <c r="D56" s="73" t="s">
        <v>296</v>
      </c>
      <c r="E56" s="29"/>
      <c r="F56" s="29"/>
      <c r="G56" s="29"/>
      <c r="H56" s="29"/>
      <c r="I56" s="29"/>
      <c r="J56" s="29"/>
      <c r="K56" s="29"/>
      <c r="L56" s="29"/>
      <c r="M56" s="29"/>
      <c r="N56" s="29"/>
      <c r="O56" s="29"/>
      <c r="P56" s="29"/>
      <c r="Q56" s="29"/>
    </row>
    <row r="57" spans="1:20" ht="15.6" x14ac:dyDescent="0.3">
      <c r="A57" s="64">
        <v>66</v>
      </c>
      <c r="B57" s="117" t="s">
        <v>301</v>
      </c>
      <c r="C57" s="65" t="s">
        <v>84</v>
      </c>
      <c r="D57" s="66">
        <v>400000</v>
      </c>
      <c r="E57" s="29"/>
      <c r="F57" s="29"/>
      <c r="G57" s="29"/>
      <c r="H57" s="29"/>
      <c r="I57" s="29"/>
      <c r="J57" s="29"/>
      <c r="K57" s="29"/>
      <c r="L57" s="29"/>
      <c r="M57" s="29"/>
      <c r="N57" s="29"/>
      <c r="O57" s="29"/>
      <c r="P57" s="29"/>
      <c r="Q57" s="29"/>
    </row>
    <row r="58" spans="1:20" ht="15.6" x14ac:dyDescent="0.3">
      <c r="A58" s="64">
        <v>67</v>
      </c>
      <c r="B58" s="117"/>
      <c r="C58" s="65" t="s">
        <v>302</v>
      </c>
      <c r="D58" s="66">
        <v>300000</v>
      </c>
      <c r="E58" s="29"/>
      <c r="F58" s="29"/>
      <c r="G58" s="29"/>
      <c r="H58" s="29"/>
      <c r="I58" s="29"/>
      <c r="J58" s="29"/>
      <c r="K58" s="29"/>
      <c r="L58" s="29"/>
      <c r="M58" s="29"/>
      <c r="N58" s="29"/>
      <c r="O58" s="29"/>
      <c r="P58" s="29"/>
      <c r="Q58" s="29"/>
    </row>
    <row r="59" spans="1:20" ht="15.6" x14ac:dyDescent="0.3">
      <c r="A59" s="64">
        <v>68</v>
      </c>
      <c r="B59" s="117"/>
      <c r="C59" s="65" t="s">
        <v>303</v>
      </c>
      <c r="D59" s="66">
        <v>50000</v>
      </c>
      <c r="E59" s="29"/>
      <c r="F59" s="29"/>
      <c r="G59" s="29"/>
      <c r="H59" s="29"/>
      <c r="I59" s="29"/>
      <c r="J59" s="29"/>
      <c r="K59" s="29"/>
      <c r="L59" s="29"/>
      <c r="M59" s="29"/>
      <c r="N59" s="29"/>
      <c r="O59" s="29"/>
      <c r="P59" s="29"/>
      <c r="Q59" s="29"/>
    </row>
    <row r="60" spans="1:20" ht="31.2" x14ac:dyDescent="0.3">
      <c r="A60" s="64">
        <v>69</v>
      </c>
      <c r="B60" s="117"/>
      <c r="C60" s="65" t="s">
        <v>85</v>
      </c>
      <c r="D60" s="66">
        <v>300000</v>
      </c>
      <c r="E60" s="29"/>
      <c r="F60" s="29"/>
      <c r="G60" s="29"/>
      <c r="H60" s="29"/>
      <c r="I60" s="29"/>
      <c r="J60" s="29"/>
      <c r="K60" s="29"/>
      <c r="L60" s="29"/>
      <c r="M60" s="29"/>
      <c r="N60" s="29"/>
      <c r="O60" s="29"/>
      <c r="P60" s="29"/>
      <c r="Q60" s="29"/>
    </row>
    <row r="61" spans="1:20" ht="15.6" x14ac:dyDescent="0.3">
      <c r="A61" s="64">
        <v>70</v>
      </c>
      <c r="B61" s="117"/>
      <c r="C61" s="65" t="s">
        <v>304</v>
      </c>
      <c r="D61" s="66" t="s">
        <v>305</v>
      </c>
      <c r="E61" s="29"/>
      <c r="F61" s="29"/>
      <c r="G61" s="29"/>
      <c r="H61" s="29"/>
      <c r="I61" s="29"/>
      <c r="J61" s="29"/>
      <c r="K61" s="29"/>
      <c r="L61" s="29"/>
      <c r="M61" s="29"/>
      <c r="N61" s="29"/>
      <c r="O61" s="29"/>
      <c r="P61" s="29"/>
      <c r="Q61" s="29"/>
    </row>
    <row r="62" spans="1:20" ht="15.6" x14ac:dyDescent="0.3">
      <c r="A62" s="64">
        <v>71</v>
      </c>
      <c r="B62" s="117"/>
      <c r="C62" s="68" t="s">
        <v>306</v>
      </c>
      <c r="D62" s="69"/>
      <c r="E62" s="29"/>
      <c r="F62" s="29"/>
      <c r="G62" s="29"/>
      <c r="H62" s="29"/>
      <c r="I62" s="29"/>
      <c r="J62" s="29"/>
      <c r="K62" s="29"/>
      <c r="L62" s="29"/>
      <c r="M62" s="29"/>
      <c r="N62" s="29"/>
      <c r="O62" s="29"/>
      <c r="P62" s="29"/>
      <c r="Q62" s="29"/>
    </row>
    <row r="63" spans="1:20" ht="15.6" x14ac:dyDescent="0.3">
      <c r="A63" s="64">
        <v>72</v>
      </c>
      <c r="B63" s="117"/>
      <c r="C63" s="65" t="s">
        <v>307</v>
      </c>
      <c r="D63" s="66">
        <v>200000</v>
      </c>
      <c r="E63" s="29"/>
      <c r="F63" s="29"/>
      <c r="G63" s="29"/>
      <c r="H63" s="29"/>
      <c r="I63" s="29"/>
      <c r="J63" s="29"/>
      <c r="K63" s="29"/>
      <c r="L63" s="29"/>
      <c r="M63" s="29"/>
      <c r="N63" s="29"/>
      <c r="O63" s="29"/>
      <c r="P63" s="29"/>
      <c r="Q63" s="29"/>
    </row>
    <row r="64" spans="1:20" ht="15.6" x14ac:dyDescent="0.3">
      <c r="A64" s="64">
        <v>73</v>
      </c>
      <c r="B64" s="117"/>
      <c r="C64" s="65" t="s">
        <v>308</v>
      </c>
      <c r="D64" s="73" t="s">
        <v>309</v>
      </c>
      <c r="E64" s="29"/>
      <c r="F64" s="29"/>
      <c r="G64" s="29"/>
      <c r="H64" s="29"/>
      <c r="I64" s="29"/>
      <c r="J64" s="29"/>
      <c r="K64" s="29"/>
      <c r="L64" s="29"/>
      <c r="M64" s="29"/>
      <c r="N64" s="29"/>
      <c r="O64" s="29"/>
      <c r="P64" s="29"/>
      <c r="Q64" s="29"/>
      <c r="R64" s="29"/>
      <c r="S64" s="29"/>
      <c r="T64" s="29"/>
    </row>
    <row r="65" spans="1:17" ht="22.05" customHeight="1" x14ac:dyDescent="0.3">
      <c r="A65" s="64">
        <v>74</v>
      </c>
      <c r="B65" s="117"/>
      <c r="C65" s="65" t="s">
        <v>310</v>
      </c>
      <c r="D65" s="73" t="s">
        <v>294</v>
      </c>
      <c r="E65" s="29"/>
      <c r="F65" s="29"/>
      <c r="G65" s="29"/>
      <c r="H65" s="29"/>
      <c r="I65" s="29"/>
      <c r="J65" s="29"/>
      <c r="K65" s="29"/>
      <c r="L65" s="29"/>
      <c r="M65" s="29"/>
      <c r="N65" s="29"/>
      <c r="O65" s="29"/>
      <c r="P65" s="29"/>
      <c r="Q65" s="29"/>
    </row>
    <row r="66" spans="1:17" ht="15.6" x14ac:dyDescent="0.3">
      <c r="A66" s="64">
        <v>75</v>
      </c>
      <c r="B66" s="117"/>
      <c r="C66" s="65" t="s">
        <v>311</v>
      </c>
      <c r="D66" s="73" t="s">
        <v>296</v>
      </c>
      <c r="E66" s="29"/>
      <c r="F66" s="29"/>
      <c r="G66" s="29"/>
      <c r="H66" s="29"/>
      <c r="I66" s="29"/>
      <c r="J66" s="29"/>
      <c r="K66" s="29"/>
      <c r="L66" s="29"/>
      <c r="M66" s="29"/>
      <c r="N66" s="29"/>
      <c r="O66" s="29"/>
      <c r="P66" s="29"/>
      <c r="Q66" s="29"/>
    </row>
    <row r="67" spans="1:17" ht="15.6" x14ac:dyDescent="0.3">
      <c r="A67" s="64">
        <v>76</v>
      </c>
      <c r="B67" s="117"/>
      <c r="C67" s="65" t="s">
        <v>312</v>
      </c>
      <c r="D67" s="73" t="s">
        <v>298</v>
      </c>
      <c r="E67" s="29"/>
      <c r="F67" s="29"/>
      <c r="G67" s="29"/>
      <c r="H67" s="29"/>
      <c r="I67" s="29"/>
      <c r="J67" s="29"/>
      <c r="K67" s="29"/>
      <c r="L67" s="29"/>
      <c r="M67" s="29"/>
      <c r="N67" s="29"/>
      <c r="O67" s="29"/>
      <c r="P67" s="29"/>
      <c r="Q67" s="29"/>
    </row>
    <row r="68" spans="1:17" ht="15.6" x14ac:dyDescent="0.3">
      <c r="A68" s="64">
        <v>77</v>
      </c>
      <c r="B68" s="117"/>
      <c r="C68" s="78" t="s">
        <v>313</v>
      </c>
      <c r="D68" s="79"/>
      <c r="E68" s="29"/>
      <c r="F68" s="29"/>
      <c r="G68" s="29"/>
      <c r="H68" s="29"/>
      <c r="I68" s="29"/>
      <c r="J68" s="29"/>
      <c r="K68" s="29"/>
      <c r="L68" s="29"/>
      <c r="M68" s="29"/>
      <c r="N68" s="29"/>
      <c r="O68" s="29"/>
      <c r="P68" s="29"/>
      <c r="Q68" s="29"/>
    </row>
    <row r="69" spans="1:17" ht="15.6" x14ac:dyDescent="0.3">
      <c r="A69" s="77">
        <v>78</v>
      </c>
      <c r="B69" s="127"/>
      <c r="C69" s="60" t="s">
        <v>314</v>
      </c>
      <c r="D69" s="72"/>
      <c r="E69" s="29"/>
      <c r="F69" s="29"/>
      <c r="G69" s="29"/>
      <c r="H69" s="29"/>
      <c r="I69" s="29"/>
      <c r="J69" s="29"/>
      <c r="K69" s="29"/>
      <c r="L69" s="29"/>
      <c r="M69" s="29"/>
      <c r="N69" s="29"/>
      <c r="O69" s="29"/>
      <c r="P69" s="29"/>
      <c r="Q69" s="29"/>
    </row>
    <row r="70" spans="1:17" ht="15.6" x14ac:dyDescent="0.3">
      <c r="A70" s="59">
        <v>79</v>
      </c>
      <c r="B70" s="128"/>
      <c r="C70" s="60" t="s">
        <v>315</v>
      </c>
      <c r="D70" s="72"/>
      <c r="E70" s="29"/>
      <c r="F70" s="29"/>
      <c r="G70" s="29"/>
      <c r="H70" s="29"/>
      <c r="I70" s="29"/>
      <c r="J70" s="29"/>
      <c r="K70" s="29"/>
      <c r="L70" s="29"/>
      <c r="M70" s="29"/>
      <c r="N70" s="29"/>
      <c r="O70" s="29"/>
      <c r="P70" s="29"/>
      <c r="Q70" s="29"/>
    </row>
    <row r="71" spans="1:17" ht="15.6" x14ac:dyDescent="0.3">
      <c r="A71" s="59">
        <v>80</v>
      </c>
      <c r="B71" s="129"/>
      <c r="C71" s="80" t="s">
        <v>316</v>
      </c>
      <c r="D71" s="81"/>
      <c r="E71" s="29"/>
      <c r="F71" s="29"/>
      <c r="G71" s="29"/>
      <c r="H71" s="29"/>
      <c r="I71" s="29"/>
      <c r="J71" s="29"/>
      <c r="K71" s="29"/>
      <c r="L71" s="29"/>
      <c r="M71" s="29"/>
      <c r="N71" s="29"/>
      <c r="O71" s="29"/>
      <c r="P71" s="29"/>
      <c r="Q71" s="29"/>
    </row>
    <row r="72" spans="1:17" ht="31.2" x14ac:dyDescent="0.3">
      <c r="A72" s="59">
        <v>81</v>
      </c>
      <c r="B72" s="116" t="s">
        <v>317</v>
      </c>
      <c r="C72" s="60" t="s">
        <v>318</v>
      </c>
      <c r="D72" s="4" t="s">
        <v>319</v>
      </c>
      <c r="E72" s="29"/>
      <c r="F72" s="29"/>
      <c r="G72" s="29"/>
      <c r="H72" s="29"/>
      <c r="I72" s="29"/>
      <c r="J72" s="29"/>
      <c r="K72" s="29"/>
      <c r="L72" s="29"/>
      <c r="M72" s="29"/>
      <c r="N72" s="29"/>
      <c r="O72" s="29"/>
      <c r="P72" s="29"/>
      <c r="Q72" s="29"/>
    </row>
    <row r="73" spans="1:17" ht="31.2" x14ac:dyDescent="0.3">
      <c r="A73" s="59">
        <v>82</v>
      </c>
      <c r="B73" s="116"/>
      <c r="C73" s="60" t="s">
        <v>320</v>
      </c>
      <c r="D73" s="4" t="s">
        <v>321</v>
      </c>
      <c r="E73" s="29"/>
      <c r="F73" s="29"/>
      <c r="G73" s="29"/>
      <c r="H73" s="29"/>
      <c r="I73" s="29"/>
      <c r="J73" s="29"/>
      <c r="K73" s="29"/>
      <c r="L73" s="29"/>
      <c r="M73" s="29"/>
      <c r="N73" s="29"/>
      <c r="O73" s="29"/>
      <c r="P73" s="29"/>
      <c r="Q73" s="29"/>
    </row>
    <row r="74" spans="1:17" ht="15.6" x14ac:dyDescent="0.3">
      <c r="A74" s="59">
        <v>83</v>
      </c>
      <c r="B74" s="116"/>
      <c r="C74" s="60" t="s">
        <v>322</v>
      </c>
      <c r="D74" s="4"/>
      <c r="E74" s="29"/>
      <c r="F74" s="29"/>
      <c r="G74" s="29"/>
      <c r="H74" s="29"/>
      <c r="I74" s="29"/>
      <c r="J74" s="29"/>
      <c r="K74" s="29"/>
      <c r="L74" s="29"/>
      <c r="M74" s="29"/>
      <c r="N74" s="29"/>
      <c r="O74" s="29"/>
      <c r="P74" s="29"/>
      <c r="Q74" s="29"/>
    </row>
    <row r="75" spans="1:17" ht="15.6" x14ac:dyDescent="0.3">
      <c r="A75" s="59">
        <v>84</v>
      </c>
      <c r="B75" s="116"/>
      <c r="C75" s="60" t="s">
        <v>323</v>
      </c>
      <c r="D75" s="4" t="s">
        <v>324</v>
      </c>
      <c r="E75" s="29"/>
      <c r="F75" s="29"/>
      <c r="G75" s="29"/>
      <c r="H75" s="29"/>
      <c r="I75" s="29"/>
      <c r="J75" s="29"/>
      <c r="K75" s="29"/>
      <c r="L75" s="29"/>
      <c r="M75" s="29"/>
      <c r="N75" s="29"/>
      <c r="O75" s="29"/>
      <c r="P75" s="29"/>
      <c r="Q75" s="29"/>
    </row>
    <row r="76" spans="1:17" ht="15.6" x14ac:dyDescent="0.3">
      <c r="A76" s="59">
        <v>85</v>
      </c>
      <c r="B76" s="116"/>
      <c r="C76" s="60" t="s">
        <v>325</v>
      </c>
      <c r="D76" s="4" t="s">
        <v>326</v>
      </c>
      <c r="E76" s="29"/>
      <c r="F76" s="29"/>
      <c r="G76" s="29"/>
      <c r="H76" s="29"/>
      <c r="I76" s="29"/>
      <c r="J76" s="29"/>
      <c r="K76" s="29"/>
      <c r="L76" s="29"/>
      <c r="M76" s="29"/>
      <c r="N76" s="29"/>
      <c r="O76" s="29"/>
      <c r="P76" s="29"/>
      <c r="Q76" s="29"/>
    </row>
    <row r="77" spans="1:17" ht="15.6" x14ac:dyDescent="0.3">
      <c r="A77" s="59">
        <v>86</v>
      </c>
      <c r="B77" s="116"/>
      <c r="C77" s="60" t="s">
        <v>327</v>
      </c>
      <c r="D77" s="4"/>
      <c r="E77" s="29"/>
      <c r="F77" s="29"/>
      <c r="G77" s="29"/>
      <c r="H77" s="29"/>
      <c r="I77" s="29"/>
      <c r="J77" s="29"/>
      <c r="K77" s="29"/>
      <c r="L77" s="29"/>
      <c r="M77" s="29"/>
      <c r="N77" s="29"/>
      <c r="O77" s="29"/>
      <c r="P77" s="29"/>
      <c r="Q77" s="29"/>
    </row>
    <row r="78" spans="1:17" ht="15.6" x14ac:dyDescent="0.3">
      <c r="A78" s="59">
        <v>87</v>
      </c>
      <c r="B78" s="116"/>
      <c r="C78" s="60" t="s">
        <v>328</v>
      </c>
      <c r="D78" s="4" t="s">
        <v>329</v>
      </c>
      <c r="E78" s="29"/>
      <c r="F78" s="29"/>
      <c r="G78" s="29"/>
      <c r="H78" s="29"/>
      <c r="I78" s="29"/>
      <c r="J78" s="29"/>
      <c r="K78" s="29"/>
      <c r="L78" s="29"/>
      <c r="M78" s="29"/>
      <c r="N78" s="29"/>
      <c r="O78" s="29"/>
      <c r="P78" s="29"/>
      <c r="Q78" s="29"/>
    </row>
    <row r="79" spans="1:17" ht="15.6" x14ac:dyDescent="0.3">
      <c r="A79" s="59">
        <v>88</v>
      </c>
      <c r="B79" s="116"/>
      <c r="C79" s="70" t="s">
        <v>330</v>
      </c>
      <c r="D79" s="71"/>
      <c r="E79" s="29"/>
      <c r="F79" s="29"/>
      <c r="G79" s="29"/>
      <c r="H79" s="29"/>
      <c r="I79" s="29"/>
      <c r="J79" s="29"/>
      <c r="K79" s="29"/>
      <c r="L79" s="29"/>
      <c r="M79" s="29"/>
      <c r="N79" s="29"/>
      <c r="O79" s="29"/>
      <c r="P79" s="29"/>
      <c r="Q79" s="29"/>
    </row>
    <row r="80" spans="1:17" ht="15.6" x14ac:dyDescent="0.3">
      <c r="A80" s="59">
        <v>89</v>
      </c>
      <c r="B80" s="116"/>
      <c r="C80" s="70" t="s">
        <v>331</v>
      </c>
      <c r="D80" s="71"/>
      <c r="E80" s="29"/>
      <c r="F80" s="29"/>
      <c r="G80" s="29"/>
      <c r="H80" s="29"/>
      <c r="I80" s="29"/>
      <c r="J80" s="29"/>
      <c r="K80" s="29"/>
      <c r="L80" s="29"/>
      <c r="M80" s="29"/>
      <c r="N80" s="29"/>
      <c r="O80" s="29"/>
      <c r="P80" s="29"/>
      <c r="Q80" s="29"/>
    </row>
    <row r="81" spans="1:17" ht="31.2" x14ac:dyDescent="0.3">
      <c r="A81" s="59">
        <v>90</v>
      </c>
      <c r="B81" s="116"/>
      <c r="C81" s="60" t="s">
        <v>332</v>
      </c>
      <c r="D81" s="4" t="s">
        <v>333</v>
      </c>
      <c r="E81" s="29"/>
      <c r="F81" s="29"/>
      <c r="G81" s="29"/>
      <c r="H81" s="29"/>
      <c r="I81" s="29"/>
      <c r="J81" s="29"/>
      <c r="K81" s="29"/>
      <c r="L81" s="29"/>
      <c r="M81" s="29"/>
      <c r="N81" s="29"/>
      <c r="O81" s="29"/>
      <c r="P81" s="29"/>
      <c r="Q81" s="29"/>
    </row>
    <row r="82" spans="1:17" ht="15.6" x14ac:dyDescent="0.3">
      <c r="A82" s="59">
        <v>91</v>
      </c>
      <c r="B82" s="116"/>
      <c r="C82" s="70" t="s">
        <v>334</v>
      </c>
      <c r="D82" s="71"/>
      <c r="E82" s="29"/>
      <c r="F82" s="29"/>
      <c r="G82" s="29"/>
      <c r="H82" s="29"/>
      <c r="I82" s="29"/>
      <c r="J82" s="29"/>
      <c r="K82" s="29"/>
      <c r="L82" s="29"/>
      <c r="M82" s="29"/>
      <c r="N82" s="29"/>
      <c r="O82" s="29"/>
      <c r="P82" s="29"/>
      <c r="Q82" s="29"/>
    </row>
    <row r="83" spans="1:17" ht="46.8" x14ac:dyDescent="0.3">
      <c r="A83" s="59">
        <v>92</v>
      </c>
      <c r="B83" s="116"/>
      <c r="C83" s="60" t="s">
        <v>335</v>
      </c>
      <c r="D83" s="4" t="s">
        <v>336</v>
      </c>
      <c r="E83" s="29"/>
      <c r="F83" s="29"/>
      <c r="G83" s="29"/>
      <c r="H83" s="29"/>
      <c r="I83" s="29"/>
      <c r="J83" s="29"/>
      <c r="K83" s="29"/>
      <c r="L83" s="29"/>
      <c r="M83" s="29"/>
      <c r="N83" s="29"/>
      <c r="O83" s="29"/>
      <c r="P83" s="29"/>
      <c r="Q83" s="29"/>
    </row>
    <row r="84" spans="1:17" ht="15.6" x14ac:dyDescent="0.3">
      <c r="A84" s="59">
        <v>93</v>
      </c>
      <c r="B84" s="116"/>
      <c r="C84" s="70" t="s">
        <v>337</v>
      </c>
      <c r="D84" s="71"/>
      <c r="E84" s="29"/>
      <c r="F84" s="29"/>
      <c r="G84" s="29"/>
      <c r="H84" s="29"/>
      <c r="I84" s="29"/>
      <c r="J84" s="29"/>
      <c r="K84" s="29"/>
      <c r="L84" s="29"/>
      <c r="M84" s="29"/>
      <c r="N84" s="29"/>
      <c r="O84" s="29"/>
      <c r="P84" s="29"/>
      <c r="Q84" s="29"/>
    </row>
    <row r="85" spans="1:17" ht="31.2" x14ac:dyDescent="0.3">
      <c r="A85" s="59">
        <v>94</v>
      </c>
      <c r="B85" s="116"/>
      <c r="C85" s="60" t="s">
        <v>338</v>
      </c>
      <c r="D85" s="4" t="s">
        <v>339</v>
      </c>
      <c r="E85" s="29"/>
      <c r="F85" s="29"/>
      <c r="G85" s="29"/>
      <c r="H85" s="29"/>
      <c r="I85" s="29"/>
      <c r="J85" s="29"/>
      <c r="K85" s="29"/>
      <c r="L85" s="29"/>
      <c r="M85" s="29"/>
      <c r="N85" s="29"/>
      <c r="O85" s="29"/>
      <c r="P85" s="29"/>
      <c r="Q85" s="29"/>
    </row>
    <row r="86" spans="1:17" x14ac:dyDescent="0.3">
      <c r="A86" s="61"/>
      <c r="B86" s="61"/>
      <c r="C86" s="62"/>
      <c r="D86" s="63"/>
      <c r="E86" s="29"/>
      <c r="F86" s="29"/>
      <c r="G86" s="29"/>
      <c r="H86" s="29"/>
      <c r="I86" s="29"/>
      <c r="J86" s="29"/>
      <c r="K86" s="29"/>
      <c r="L86" s="29"/>
      <c r="M86" s="29"/>
      <c r="N86" s="29"/>
      <c r="O86" s="29"/>
      <c r="P86" s="29"/>
      <c r="Q86" s="29"/>
    </row>
    <row r="87" spans="1:17" x14ac:dyDescent="0.3">
      <c r="A87" s="61"/>
      <c r="B87" s="61"/>
      <c r="C87" s="62"/>
      <c r="D87" s="63"/>
      <c r="E87" s="29"/>
      <c r="F87" s="29"/>
      <c r="G87" s="29"/>
      <c r="H87" s="29"/>
      <c r="I87" s="29"/>
      <c r="J87" s="29"/>
      <c r="K87" s="29"/>
      <c r="L87" s="29"/>
      <c r="M87" s="29"/>
      <c r="N87" s="29"/>
      <c r="O87" s="29"/>
      <c r="P87" s="29"/>
      <c r="Q87" s="29"/>
    </row>
    <row r="88" spans="1:17" x14ac:dyDescent="0.3">
      <c r="A88" s="61"/>
      <c r="B88" s="61"/>
      <c r="C88" s="62"/>
      <c r="D88" s="63"/>
      <c r="E88" s="29"/>
      <c r="F88" s="29"/>
      <c r="G88" s="29"/>
      <c r="H88" s="29"/>
      <c r="I88" s="29"/>
      <c r="J88" s="29"/>
      <c r="K88" s="29"/>
      <c r="L88" s="29"/>
      <c r="M88" s="29"/>
      <c r="N88" s="29"/>
      <c r="O88" s="29"/>
      <c r="P88" s="29"/>
      <c r="Q88" s="29"/>
    </row>
    <row r="89" spans="1:17" x14ac:dyDescent="0.3">
      <c r="A89" s="61"/>
      <c r="B89" s="61"/>
      <c r="C89" s="62"/>
      <c r="D89" s="63"/>
      <c r="E89" s="29"/>
      <c r="F89" s="29"/>
      <c r="G89" s="29"/>
      <c r="H89" s="29"/>
      <c r="I89" s="29"/>
      <c r="J89" s="29"/>
      <c r="K89" s="29"/>
      <c r="L89" s="29"/>
      <c r="M89" s="29"/>
      <c r="N89" s="29"/>
      <c r="O89" s="29"/>
      <c r="P89" s="29"/>
      <c r="Q89" s="29"/>
    </row>
    <row r="90" spans="1:17" x14ac:dyDescent="0.3">
      <c r="A90" s="61"/>
      <c r="B90" s="61"/>
      <c r="C90" s="62"/>
      <c r="D90" s="63"/>
      <c r="E90" s="29"/>
      <c r="F90" s="29"/>
      <c r="G90" s="29"/>
      <c r="H90" s="29"/>
      <c r="I90" s="29"/>
      <c r="J90" s="29"/>
      <c r="K90" s="29"/>
      <c r="L90" s="29"/>
      <c r="M90" s="29"/>
      <c r="N90" s="29"/>
      <c r="O90" s="29"/>
      <c r="P90" s="29"/>
      <c r="Q90" s="29"/>
    </row>
    <row r="91" spans="1:17" x14ac:dyDescent="0.3">
      <c r="A91" s="61"/>
      <c r="B91" s="61"/>
      <c r="C91" s="62"/>
      <c r="D91" s="63"/>
      <c r="E91" s="29"/>
      <c r="F91" s="29"/>
      <c r="G91" s="29"/>
      <c r="H91" s="29"/>
      <c r="I91" s="29"/>
      <c r="J91" s="29"/>
      <c r="K91" s="29"/>
      <c r="L91" s="29"/>
      <c r="M91" s="29"/>
      <c r="N91" s="29"/>
      <c r="O91" s="29"/>
      <c r="P91" s="29"/>
      <c r="Q91" s="29"/>
    </row>
    <row r="92" spans="1:17" x14ac:dyDescent="0.3">
      <c r="A92" s="61"/>
      <c r="B92" s="61"/>
      <c r="C92" s="62"/>
      <c r="D92" s="63"/>
      <c r="E92" s="29"/>
      <c r="F92" s="29"/>
      <c r="G92" s="29"/>
      <c r="H92" s="29"/>
      <c r="I92" s="29"/>
      <c r="J92" s="29"/>
      <c r="K92" s="29"/>
      <c r="L92" s="29"/>
      <c r="M92" s="29"/>
      <c r="N92" s="29"/>
      <c r="O92" s="29"/>
      <c r="P92" s="29"/>
      <c r="Q92" s="29"/>
    </row>
    <row r="93" spans="1:17" x14ac:dyDescent="0.3">
      <c r="A93" s="61"/>
      <c r="B93" s="61"/>
      <c r="C93" s="62"/>
      <c r="D93" s="63"/>
      <c r="E93" s="29"/>
      <c r="F93" s="29"/>
      <c r="G93" s="29"/>
      <c r="H93" s="29"/>
      <c r="I93" s="29"/>
      <c r="J93" s="29"/>
      <c r="K93" s="29"/>
      <c r="L93" s="29"/>
      <c r="M93" s="29"/>
      <c r="N93" s="29"/>
      <c r="O93" s="29"/>
      <c r="P93" s="29"/>
      <c r="Q93" s="29"/>
    </row>
    <row r="94" spans="1:17" x14ac:dyDescent="0.3">
      <c r="A94" s="61"/>
      <c r="B94" s="61"/>
      <c r="C94" s="62"/>
      <c r="D94" s="63"/>
      <c r="E94" s="29"/>
      <c r="F94" s="29"/>
      <c r="G94" s="29"/>
      <c r="H94" s="29"/>
      <c r="I94" s="29"/>
      <c r="J94" s="29"/>
      <c r="K94" s="29"/>
      <c r="L94" s="29"/>
      <c r="M94" s="29"/>
      <c r="N94" s="29"/>
      <c r="O94" s="29"/>
      <c r="P94" s="29"/>
      <c r="Q94" s="29"/>
    </row>
    <row r="95" spans="1:17" x14ac:dyDescent="0.3">
      <c r="A95" s="61"/>
      <c r="B95" s="61"/>
      <c r="C95" s="62"/>
      <c r="D95" s="63"/>
      <c r="E95" s="29"/>
      <c r="F95" s="29"/>
      <c r="G95" s="29"/>
      <c r="H95" s="29"/>
      <c r="I95" s="29"/>
      <c r="J95" s="29"/>
      <c r="K95" s="29"/>
      <c r="L95" s="29"/>
      <c r="M95" s="29"/>
      <c r="N95" s="29"/>
      <c r="O95" s="29"/>
      <c r="P95" s="29"/>
      <c r="Q95" s="29"/>
    </row>
    <row r="96" spans="1:17" x14ac:dyDescent="0.3">
      <c r="A96" s="61"/>
      <c r="B96" s="61"/>
      <c r="C96" s="62"/>
      <c r="D96" s="63"/>
      <c r="E96" s="29"/>
      <c r="F96" s="29"/>
      <c r="G96" s="29"/>
      <c r="H96" s="29"/>
      <c r="I96" s="29"/>
      <c r="J96" s="29"/>
      <c r="K96" s="29"/>
      <c r="L96" s="29"/>
      <c r="M96" s="29"/>
      <c r="N96" s="29"/>
      <c r="O96" s="29"/>
      <c r="P96" s="29"/>
      <c r="Q96" s="29"/>
    </row>
    <row r="97" spans="1:17" x14ac:dyDescent="0.3">
      <c r="A97" s="61"/>
      <c r="B97" s="61"/>
      <c r="C97" s="62"/>
      <c r="D97" s="63"/>
      <c r="E97" s="29"/>
      <c r="F97" s="29"/>
      <c r="G97" s="29"/>
      <c r="H97" s="29"/>
      <c r="I97" s="29"/>
      <c r="J97" s="29"/>
      <c r="K97" s="29"/>
      <c r="L97" s="29"/>
      <c r="M97" s="29"/>
      <c r="N97" s="29"/>
      <c r="O97" s="29"/>
      <c r="P97" s="29"/>
      <c r="Q97" s="29"/>
    </row>
    <row r="98" spans="1:17" x14ac:dyDescent="0.3">
      <c r="A98" s="61"/>
      <c r="B98" s="61"/>
      <c r="C98" s="62"/>
      <c r="D98" s="63"/>
      <c r="E98" s="29"/>
      <c r="F98" s="29"/>
      <c r="G98" s="29"/>
      <c r="H98" s="29"/>
      <c r="I98" s="29"/>
      <c r="J98" s="29"/>
      <c r="K98" s="29"/>
      <c r="L98" s="29"/>
      <c r="M98" s="29"/>
      <c r="N98" s="29"/>
      <c r="O98" s="29"/>
      <c r="P98" s="29"/>
      <c r="Q98" s="29"/>
    </row>
    <row r="99" spans="1:17" x14ac:dyDescent="0.3">
      <c r="A99" s="61"/>
      <c r="B99" s="61"/>
      <c r="C99" s="62"/>
      <c r="D99" s="63"/>
      <c r="E99" s="29"/>
      <c r="F99" s="29"/>
      <c r="G99" s="29"/>
      <c r="H99" s="29"/>
      <c r="I99" s="29"/>
      <c r="J99" s="29"/>
      <c r="K99" s="29"/>
      <c r="L99" s="29"/>
      <c r="M99" s="29"/>
      <c r="N99" s="29"/>
      <c r="O99" s="29"/>
      <c r="P99" s="29"/>
      <c r="Q99" s="29"/>
    </row>
    <row r="100" spans="1:17" x14ac:dyDescent="0.3">
      <c r="A100" s="61"/>
      <c r="B100" s="61"/>
      <c r="C100" s="62"/>
      <c r="D100" s="63"/>
      <c r="E100" s="29"/>
      <c r="F100" s="29"/>
      <c r="G100" s="29"/>
      <c r="H100" s="29"/>
      <c r="I100" s="29"/>
      <c r="J100" s="29"/>
      <c r="K100" s="29"/>
      <c r="L100" s="29"/>
      <c r="M100" s="29"/>
      <c r="N100" s="29"/>
      <c r="O100" s="29"/>
      <c r="P100" s="29"/>
      <c r="Q100" s="29"/>
    </row>
    <row r="101" spans="1:17" x14ac:dyDescent="0.3">
      <c r="A101" s="61"/>
      <c r="B101" s="61"/>
      <c r="C101" s="62"/>
      <c r="D101" s="63"/>
      <c r="E101" s="29"/>
      <c r="F101" s="29"/>
      <c r="G101" s="29"/>
      <c r="H101" s="29"/>
      <c r="I101" s="29"/>
      <c r="J101" s="29"/>
      <c r="K101" s="29"/>
      <c r="L101" s="29"/>
      <c r="M101" s="29"/>
      <c r="N101" s="29"/>
      <c r="O101" s="29"/>
      <c r="P101" s="29"/>
      <c r="Q101" s="29"/>
    </row>
    <row r="102" spans="1:17" x14ac:dyDescent="0.3">
      <c r="A102" s="61"/>
      <c r="B102" s="61"/>
      <c r="C102" s="62"/>
      <c r="D102" s="63"/>
      <c r="E102" s="29"/>
      <c r="F102" s="29"/>
      <c r="G102" s="29"/>
      <c r="H102" s="29"/>
      <c r="I102" s="29"/>
      <c r="J102" s="29"/>
      <c r="K102" s="29"/>
      <c r="L102" s="29"/>
      <c r="M102" s="29"/>
      <c r="N102" s="29"/>
      <c r="O102" s="29"/>
      <c r="P102" s="29"/>
      <c r="Q102" s="29"/>
    </row>
    <row r="103" spans="1:17" x14ac:dyDescent="0.3">
      <c r="A103" s="61"/>
      <c r="B103" s="61"/>
      <c r="C103" s="62"/>
      <c r="D103" s="63"/>
      <c r="E103" s="29"/>
      <c r="F103" s="29"/>
      <c r="G103" s="29"/>
      <c r="H103" s="29"/>
      <c r="I103" s="29"/>
      <c r="J103" s="29"/>
      <c r="K103" s="29"/>
      <c r="L103" s="29"/>
      <c r="M103" s="29"/>
      <c r="N103" s="29"/>
      <c r="O103" s="29"/>
      <c r="P103" s="29"/>
      <c r="Q103" s="29"/>
    </row>
    <row r="104" spans="1:17" x14ac:dyDescent="0.3">
      <c r="A104" s="61"/>
      <c r="B104" s="61"/>
      <c r="C104" s="62"/>
      <c r="D104" s="63"/>
      <c r="E104" s="29"/>
      <c r="F104" s="29"/>
      <c r="G104" s="29"/>
      <c r="H104" s="29"/>
      <c r="I104" s="29"/>
      <c r="J104" s="29"/>
      <c r="K104" s="29"/>
      <c r="L104" s="29"/>
      <c r="M104" s="29"/>
      <c r="N104" s="29"/>
      <c r="O104" s="29"/>
      <c r="P104" s="29"/>
      <c r="Q104" s="29"/>
    </row>
    <row r="105" spans="1:17" x14ac:dyDescent="0.3">
      <c r="A105" s="61"/>
      <c r="B105" s="61"/>
      <c r="C105" s="62"/>
      <c r="D105" s="63"/>
      <c r="E105" s="29"/>
      <c r="F105" s="29"/>
      <c r="G105" s="29"/>
      <c r="H105" s="29"/>
      <c r="I105" s="29"/>
      <c r="J105" s="29"/>
      <c r="K105" s="29"/>
      <c r="L105" s="29"/>
      <c r="M105" s="29"/>
      <c r="N105" s="29"/>
      <c r="O105" s="29"/>
      <c r="P105" s="29"/>
      <c r="Q105" s="29"/>
    </row>
    <row r="106" spans="1:17" x14ac:dyDescent="0.3">
      <c r="A106" s="61"/>
      <c r="B106" s="61"/>
      <c r="C106" s="62"/>
      <c r="D106" s="63"/>
      <c r="E106" s="29"/>
      <c r="F106" s="29"/>
      <c r="G106" s="29"/>
      <c r="H106" s="29"/>
      <c r="I106" s="29"/>
      <c r="J106" s="29"/>
      <c r="K106" s="29"/>
      <c r="L106" s="29"/>
      <c r="M106" s="29"/>
      <c r="N106" s="29"/>
      <c r="O106" s="29"/>
      <c r="P106" s="29"/>
      <c r="Q106" s="29"/>
    </row>
    <row r="107" spans="1:17" x14ac:dyDescent="0.3">
      <c r="A107" s="61"/>
      <c r="B107" s="61"/>
      <c r="C107" s="62"/>
      <c r="D107" s="63"/>
      <c r="E107" s="29"/>
      <c r="F107" s="29"/>
      <c r="G107" s="29"/>
      <c r="H107" s="29"/>
      <c r="I107" s="29"/>
      <c r="J107" s="29"/>
      <c r="K107" s="29"/>
      <c r="L107" s="29"/>
      <c r="M107" s="29"/>
      <c r="N107" s="29"/>
      <c r="O107" s="29"/>
      <c r="P107" s="29"/>
      <c r="Q107" s="29"/>
    </row>
    <row r="108" spans="1:17" x14ac:dyDescent="0.3">
      <c r="A108" s="61"/>
      <c r="B108" s="61"/>
      <c r="C108" s="62"/>
      <c r="D108" s="63"/>
      <c r="E108" s="29"/>
      <c r="F108" s="29"/>
      <c r="G108" s="29"/>
      <c r="H108" s="29"/>
      <c r="I108" s="29"/>
      <c r="J108" s="29"/>
      <c r="K108" s="29"/>
      <c r="L108" s="29"/>
      <c r="M108" s="29"/>
      <c r="N108" s="29"/>
      <c r="O108" s="29"/>
      <c r="P108" s="29"/>
      <c r="Q108" s="29"/>
    </row>
    <row r="109" spans="1:17" x14ac:dyDescent="0.3">
      <c r="A109" s="61"/>
      <c r="B109" s="61"/>
      <c r="C109" s="62"/>
      <c r="D109" s="63"/>
      <c r="E109" s="29"/>
      <c r="F109" s="29"/>
      <c r="G109" s="29"/>
      <c r="H109" s="29"/>
      <c r="I109" s="29"/>
      <c r="J109" s="29"/>
      <c r="K109" s="29"/>
      <c r="L109" s="29"/>
      <c r="M109" s="29"/>
      <c r="N109" s="29"/>
      <c r="O109" s="29"/>
      <c r="P109" s="29"/>
      <c r="Q109" s="29"/>
    </row>
    <row r="110" spans="1:17" x14ac:dyDescent="0.3">
      <c r="A110" s="61"/>
      <c r="B110" s="61"/>
      <c r="C110" s="62"/>
      <c r="D110" s="63"/>
      <c r="E110" s="29"/>
      <c r="F110" s="29"/>
      <c r="G110" s="29"/>
      <c r="H110" s="29"/>
      <c r="I110" s="29"/>
      <c r="J110" s="29"/>
      <c r="K110" s="29"/>
      <c r="L110" s="29"/>
      <c r="M110" s="29"/>
      <c r="N110" s="29"/>
      <c r="O110" s="29"/>
      <c r="P110" s="29"/>
      <c r="Q110" s="29"/>
    </row>
    <row r="111" spans="1:17" x14ac:dyDescent="0.3">
      <c r="A111" s="61"/>
      <c r="B111" s="61"/>
      <c r="C111" s="62"/>
      <c r="D111" s="63"/>
      <c r="E111" s="29"/>
      <c r="F111" s="29"/>
      <c r="G111" s="29"/>
      <c r="H111" s="29"/>
      <c r="I111" s="29"/>
      <c r="J111" s="29"/>
      <c r="K111" s="29"/>
      <c r="L111" s="29"/>
      <c r="M111" s="29"/>
      <c r="N111" s="29"/>
      <c r="O111" s="29"/>
      <c r="P111" s="29"/>
      <c r="Q111" s="29"/>
    </row>
    <row r="112" spans="1:17" x14ac:dyDescent="0.3">
      <c r="A112" s="61"/>
      <c r="B112" s="61"/>
      <c r="C112" s="62"/>
      <c r="D112" s="63"/>
      <c r="E112" s="29"/>
      <c r="F112" s="29"/>
      <c r="G112" s="29"/>
      <c r="H112" s="29"/>
      <c r="I112" s="29"/>
      <c r="J112" s="29"/>
      <c r="K112" s="29"/>
      <c r="L112" s="29"/>
      <c r="M112" s="29"/>
      <c r="N112" s="29"/>
      <c r="O112" s="29"/>
      <c r="P112" s="29"/>
      <c r="Q112" s="29"/>
    </row>
    <row r="113" spans="1:17" x14ac:dyDescent="0.3">
      <c r="A113" s="61"/>
      <c r="B113" s="61"/>
      <c r="C113" s="62"/>
      <c r="D113" s="63"/>
      <c r="E113" s="29"/>
      <c r="F113" s="29"/>
      <c r="G113" s="29"/>
      <c r="H113" s="29"/>
      <c r="I113" s="29"/>
      <c r="J113" s="29"/>
      <c r="K113" s="29"/>
      <c r="L113" s="29"/>
      <c r="M113" s="29"/>
      <c r="N113" s="29"/>
      <c r="O113" s="29"/>
      <c r="P113" s="29"/>
      <c r="Q113" s="29"/>
    </row>
    <row r="114" spans="1:17" x14ac:dyDescent="0.3">
      <c r="A114" s="61"/>
      <c r="B114" s="61"/>
      <c r="C114" s="62"/>
      <c r="D114" s="63"/>
      <c r="E114" s="29"/>
      <c r="F114" s="29"/>
      <c r="G114" s="29"/>
      <c r="H114" s="29"/>
      <c r="I114" s="29"/>
      <c r="J114" s="29"/>
      <c r="K114" s="29"/>
      <c r="L114" s="29"/>
      <c r="M114" s="29"/>
      <c r="N114" s="29"/>
      <c r="O114" s="29"/>
      <c r="P114" s="29"/>
      <c r="Q114" s="29"/>
    </row>
    <row r="115" spans="1:17" x14ac:dyDescent="0.3">
      <c r="A115" s="61"/>
      <c r="B115" s="61"/>
      <c r="C115" s="62"/>
      <c r="D115" s="63"/>
      <c r="E115" s="29"/>
      <c r="F115" s="29"/>
      <c r="G115" s="29"/>
      <c r="H115" s="29"/>
      <c r="I115" s="29"/>
      <c r="J115" s="29"/>
      <c r="K115" s="29"/>
      <c r="L115" s="29"/>
      <c r="M115" s="29"/>
      <c r="N115" s="29"/>
      <c r="O115" s="29"/>
      <c r="P115" s="29"/>
      <c r="Q115" s="29"/>
    </row>
    <row r="116" spans="1:17" x14ac:dyDescent="0.3">
      <c r="A116" s="61"/>
      <c r="B116" s="61"/>
      <c r="C116" s="62"/>
      <c r="D116" s="63"/>
      <c r="E116" s="29"/>
      <c r="F116" s="29"/>
      <c r="G116" s="29"/>
      <c r="H116" s="29"/>
      <c r="I116" s="29"/>
      <c r="J116" s="29"/>
      <c r="K116" s="29"/>
      <c r="L116" s="29"/>
      <c r="M116" s="29"/>
      <c r="N116" s="29"/>
      <c r="O116" s="29"/>
      <c r="P116" s="29"/>
      <c r="Q116" s="29"/>
    </row>
    <row r="117" spans="1:17" x14ac:dyDescent="0.3">
      <c r="A117" s="61"/>
      <c r="B117" s="61"/>
      <c r="C117" s="62"/>
      <c r="D117" s="63"/>
      <c r="E117" s="29"/>
      <c r="F117" s="29"/>
      <c r="G117" s="29"/>
      <c r="H117" s="29"/>
      <c r="I117" s="29"/>
      <c r="J117" s="29"/>
      <c r="K117" s="29"/>
      <c r="L117" s="29"/>
      <c r="M117" s="29"/>
      <c r="N117" s="29"/>
      <c r="O117" s="29"/>
      <c r="P117" s="29"/>
      <c r="Q117" s="29"/>
    </row>
    <row r="118" spans="1:17" x14ac:dyDescent="0.3">
      <c r="A118" s="61"/>
      <c r="B118" s="61"/>
      <c r="C118" s="62"/>
      <c r="D118" s="63"/>
      <c r="E118" s="29"/>
      <c r="F118" s="29"/>
      <c r="G118" s="29"/>
      <c r="H118" s="29"/>
      <c r="I118" s="29"/>
      <c r="J118" s="29"/>
      <c r="K118" s="29"/>
      <c r="L118" s="29"/>
      <c r="M118" s="29"/>
      <c r="N118" s="29"/>
      <c r="O118" s="29"/>
      <c r="P118" s="29"/>
      <c r="Q118" s="29"/>
    </row>
    <row r="119" spans="1:17" x14ac:dyDescent="0.3">
      <c r="A119" s="61"/>
      <c r="B119" s="61"/>
      <c r="C119" s="62"/>
      <c r="D119" s="63"/>
      <c r="E119" s="29"/>
      <c r="F119" s="29"/>
      <c r="G119" s="29"/>
      <c r="H119" s="29"/>
      <c r="I119" s="29"/>
      <c r="J119" s="29"/>
      <c r="K119" s="29"/>
      <c r="L119" s="29"/>
      <c r="M119" s="29"/>
      <c r="N119" s="29"/>
      <c r="O119" s="29"/>
      <c r="P119" s="29"/>
      <c r="Q119" s="29"/>
    </row>
    <row r="120" spans="1:17" x14ac:dyDescent="0.3">
      <c r="A120" s="61"/>
      <c r="B120" s="61"/>
      <c r="C120" s="62"/>
      <c r="D120" s="63"/>
      <c r="E120" s="29"/>
      <c r="F120" s="29"/>
      <c r="G120" s="29"/>
      <c r="H120" s="29"/>
      <c r="I120" s="29"/>
      <c r="J120" s="29"/>
      <c r="K120" s="29"/>
      <c r="L120" s="29"/>
      <c r="M120" s="29"/>
      <c r="N120" s="29"/>
      <c r="O120" s="29"/>
      <c r="P120" s="29"/>
      <c r="Q120" s="29"/>
    </row>
    <row r="121" spans="1:17" x14ac:dyDescent="0.3">
      <c r="A121" s="61"/>
      <c r="B121" s="61"/>
      <c r="C121" s="62"/>
      <c r="D121" s="63"/>
      <c r="E121" s="29"/>
      <c r="F121" s="29"/>
      <c r="G121" s="29"/>
      <c r="H121" s="29"/>
      <c r="I121" s="29"/>
      <c r="J121" s="29"/>
      <c r="K121" s="29"/>
      <c r="L121" s="29"/>
      <c r="M121" s="29"/>
      <c r="N121" s="29"/>
      <c r="O121" s="29"/>
      <c r="P121" s="29"/>
      <c r="Q121" s="29"/>
    </row>
    <row r="122" spans="1:17" x14ac:dyDescent="0.3">
      <c r="A122" s="61"/>
      <c r="B122" s="61"/>
      <c r="C122" s="62"/>
      <c r="D122" s="63"/>
      <c r="E122" s="29"/>
      <c r="F122" s="29"/>
      <c r="G122" s="29"/>
      <c r="H122" s="29"/>
      <c r="I122" s="29"/>
      <c r="J122" s="29"/>
      <c r="K122" s="29"/>
      <c r="L122" s="29"/>
      <c r="M122" s="29"/>
      <c r="N122" s="29"/>
      <c r="O122" s="29"/>
      <c r="P122" s="29"/>
      <c r="Q122" s="29"/>
    </row>
    <row r="123" spans="1:17" x14ac:dyDescent="0.3">
      <c r="A123" s="61"/>
      <c r="B123" s="61"/>
      <c r="C123" s="62"/>
      <c r="D123" s="63"/>
      <c r="E123" s="29"/>
      <c r="F123" s="29"/>
      <c r="G123" s="29"/>
      <c r="H123" s="29"/>
      <c r="I123" s="29"/>
      <c r="J123" s="29"/>
      <c r="K123" s="29"/>
      <c r="L123" s="29"/>
      <c r="M123" s="29"/>
      <c r="N123" s="29"/>
      <c r="O123" s="29"/>
      <c r="P123" s="29"/>
      <c r="Q123" s="29"/>
    </row>
    <row r="124" spans="1:17" x14ac:dyDescent="0.3">
      <c r="A124" s="61"/>
      <c r="B124" s="61"/>
      <c r="C124" s="62"/>
      <c r="D124" s="63"/>
      <c r="E124" s="29"/>
      <c r="F124" s="29"/>
      <c r="G124" s="29"/>
      <c r="H124" s="29"/>
      <c r="I124" s="29"/>
      <c r="J124" s="29"/>
      <c r="K124" s="29"/>
      <c r="L124" s="29"/>
      <c r="M124" s="29"/>
      <c r="N124" s="29"/>
      <c r="O124" s="29"/>
      <c r="P124" s="29"/>
      <c r="Q124" s="29"/>
    </row>
    <row r="125" spans="1:17" x14ac:dyDescent="0.3">
      <c r="A125" s="61"/>
      <c r="B125" s="61"/>
      <c r="C125" s="62"/>
      <c r="D125" s="63"/>
      <c r="E125" s="29"/>
      <c r="F125" s="29"/>
      <c r="G125" s="29"/>
      <c r="H125" s="29"/>
      <c r="I125" s="29"/>
      <c r="J125" s="29"/>
      <c r="K125" s="29"/>
      <c r="L125" s="29"/>
      <c r="M125" s="29"/>
      <c r="N125" s="29"/>
      <c r="O125" s="29"/>
      <c r="P125" s="29"/>
      <c r="Q125" s="29"/>
    </row>
    <row r="126" spans="1:17" x14ac:dyDescent="0.3">
      <c r="A126" s="61"/>
      <c r="B126" s="61"/>
      <c r="C126" s="62"/>
      <c r="D126" s="63"/>
      <c r="E126" s="29"/>
      <c r="F126" s="29"/>
      <c r="G126" s="29"/>
      <c r="H126" s="29"/>
      <c r="I126" s="29"/>
      <c r="J126" s="29"/>
      <c r="K126" s="29"/>
      <c r="L126" s="29"/>
      <c r="M126" s="29"/>
      <c r="N126" s="29"/>
      <c r="O126" s="29"/>
      <c r="P126" s="29"/>
      <c r="Q126" s="29"/>
    </row>
    <row r="127" spans="1:17" x14ac:dyDescent="0.3">
      <c r="A127" s="61"/>
      <c r="B127" s="61"/>
      <c r="C127" s="62"/>
      <c r="D127" s="63"/>
      <c r="E127" s="29"/>
      <c r="F127" s="29"/>
      <c r="G127" s="29"/>
      <c r="H127" s="29"/>
      <c r="I127" s="29"/>
      <c r="J127" s="29"/>
      <c r="K127" s="29"/>
      <c r="L127" s="29"/>
      <c r="M127" s="29"/>
      <c r="N127" s="29"/>
      <c r="O127" s="29"/>
      <c r="P127" s="29"/>
      <c r="Q127" s="29"/>
    </row>
    <row r="128" spans="1:17" x14ac:dyDescent="0.3">
      <c r="A128" s="61"/>
      <c r="B128" s="61"/>
      <c r="C128" s="62"/>
      <c r="D128" s="63"/>
      <c r="E128" s="29"/>
      <c r="F128" s="29"/>
      <c r="G128" s="29"/>
      <c r="H128" s="29"/>
      <c r="I128" s="29"/>
      <c r="J128" s="29"/>
      <c r="K128" s="29"/>
      <c r="L128" s="29"/>
      <c r="M128" s="29"/>
      <c r="N128" s="29"/>
      <c r="O128" s="29"/>
      <c r="P128" s="29"/>
      <c r="Q128" s="29"/>
    </row>
    <row r="129" spans="1:17" x14ac:dyDescent="0.3">
      <c r="A129" s="61"/>
      <c r="B129" s="61"/>
      <c r="C129" s="62"/>
      <c r="D129" s="63"/>
      <c r="E129" s="29"/>
      <c r="F129" s="29"/>
      <c r="G129" s="29"/>
      <c r="H129" s="29"/>
      <c r="I129" s="29"/>
      <c r="J129" s="29"/>
      <c r="K129" s="29"/>
      <c r="L129" s="29"/>
      <c r="M129" s="29"/>
      <c r="N129" s="29"/>
      <c r="O129" s="29"/>
      <c r="P129" s="29"/>
      <c r="Q129" s="29"/>
    </row>
    <row r="130" spans="1:17" x14ac:dyDescent="0.3">
      <c r="A130" s="61"/>
      <c r="B130" s="61"/>
      <c r="C130" s="62"/>
      <c r="D130" s="63"/>
      <c r="E130" s="29"/>
      <c r="F130" s="29"/>
      <c r="G130" s="29"/>
      <c r="H130" s="29"/>
      <c r="I130" s="29"/>
      <c r="J130" s="29"/>
      <c r="K130" s="29"/>
      <c r="L130" s="29"/>
      <c r="M130" s="29"/>
      <c r="N130" s="29"/>
      <c r="O130" s="29"/>
      <c r="P130" s="29"/>
      <c r="Q130" s="29"/>
    </row>
    <row r="131" spans="1:17" x14ac:dyDescent="0.3">
      <c r="A131" s="61"/>
      <c r="B131" s="61"/>
      <c r="C131" s="62"/>
      <c r="D131" s="63"/>
      <c r="E131" s="29"/>
      <c r="F131" s="29"/>
      <c r="G131" s="29"/>
      <c r="H131" s="29"/>
      <c r="I131" s="29"/>
      <c r="J131" s="29"/>
      <c r="K131" s="29"/>
      <c r="L131" s="29"/>
      <c r="M131" s="29"/>
      <c r="N131" s="29"/>
      <c r="O131" s="29"/>
      <c r="P131" s="29"/>
      <c r="Q131" s="29"/>
    </row>
    <row r="132" spans="1:17" x14ac:dyDescent="0.3">
      <c r="A132" s="61"/>
      <c r="B132" s="61"/>
      <c r="C132" s="62"/>
      <c r="D132" s="63"/>
      <c r="E132" s="29"/>
      <c r="F132" s="29"/>
      <c r="G132" s="29"/>
      <c r="H132" s="29"/>
      <c r="I132" s="29"/>
      <c r="J132" s="29"/>
      <c r="K132" s="29"/>
      <c r="L132" s="29"/>
      <c r="M132" s="29"/>
      <c r="N132" s="29"/>
      <c r="O132" s="29"/>
      <c r="P132" s="29"/>
      <c r="Q132" s="29"/>
    </row>
    <row r="133" spans="1:17" x14ac:dyDescent="0.3">
      <c r="A133" s="61"/>
      <c r="B133" s="61"/>
      <c r="C133" s="62"/>
      <c r="D133" s="63"/>
      <c r="E133" s="29"/>
      <c r="F133" s="29"/>
      <c r="G133" s="29"/>
      <c r="H133" s="29"/>
      <c r="I133" s="29"/>
      <c r="J133" s="29"/>
      <c r="K133" s="29"/>
      <c r="L133" s="29"/>
      <c r="M133" s="29"/>
      <c r="N133" s="29"/>
      <c r="O133" s="29"/>
      <c r="P133" s="29"/>
      <c r="Q133" s="29"/>
    </row>
    <row r="134" spans="1:17" x14ac:dyDescent="0.3">
      <c r="A134" s="61"/>
      <c r="B134" s="61"/>
      <c r="C134" s="62"/>
      <c r="D134" s="63"/>
      <c r="E134" s="29"/>
      <c r="F134" s="29"/>
      <c r="G134" s="29"/>
      <c r="H134" s="29"/>
      <c r="I134" s="29"/>
      <c r="J134" s="29"/>
      <c r="K134" s="29"/>
      <c r="L134" s="29"/>
      <c r="M134" s="29"/>
      <c r="N134" s="29"/>
      <c r="O134" s="29"/>
      <c r="P134" s="29"/>
      <c r="Q134" s="29"/>
    </row>
    <row r="135" spans="1:17" x14ac:dyDescent="0.3">
      <c r="A135" s="61"/>
      <c r="B135" s="61"/>
      <c r="C135" s="62"/>
      <c r="D135" s="63"/>
      <c r="E135" s="29"/>
      <c r="F135" s="29"/>
      <c r="G135" s="29"/>
      <c r="H135" s="29"/>
      <c r="I135" s="29"/>
      <c r="J135" s="29"/>
      <c r="K135" s="29"/>
      <c r="L135" s="29"/>
      <c r="M135" s="29"/>
      <c r="N135" s="29"/>
      <c r="O135" s="29"/>
      <c r="P135" s="29"/>
      <c r="Q135" s="29"/>
    </row>
    <row r="136" spans="1:17" x14ac:dyDescent="0.3">
      <c r="A136" s="61"/>
      <c r="B136" s="61"/>
      <c r="C136" s="62"/>
      <c r="D136" s="63"/>
      <c r="E136" s="29"/>
      <c r="F136" s="29"/>
      <c r="G136" s="29"/>
      <c r="H136" s="29"/>
      <c r="I136" s="29"/>
      <c r="J136" s="29"/>
      <c r="K136" s="29"/>
      <c r="L136" s="29"/>
      <c r="M136" s="29"/>
      <c r="N136" s="29"/>
      <c r="O136" s="29"/>
      <c r="P136" s="29"/>
      <c r="Q136" s="29"/>
    </row>
    <row r="137" spans="1:17" x14ac:dyDescent="0.3">
      <c r="A137" s="61"/>
      <c r="B137" s="61"/>
      <c r="C137" s="62"/>
      <c r="D137" s="63"/>
      <c r="E137" s="29"/>
      <c r="F137" s="29"/>
      <c r="G137" s="29"/>
      <c r="H137" s="29"/>
      <c r="I137" s="29"/>
      <c r="J137" s="29"/>
      <c r="K137" s="29"/>
      <c r="L137" s="29"/>
      <c r="M137" s="29"/>
      <c r="N137" s="29"/>
      <c r="O137" s="29"/>
      <c r="P137" s="29"/>
      <c r="Q137" s="29"/>
    </row>
    <row r="138" spans="1:17" x14ac:dyDescent="0.3">
      <c r="A138" s="61"/>
      <c r="B138" s="61"/>
      <c r="C138" s="62"/>
      <c r="D138" s="63"/>
      <c r="E138" s="29"/>
      <c r="F138" s="29"/>
      <c r="G138" s="29"/>
      <c r="H138" s="29"/>
      <c r="I138" s="29"/>
      <c r="J138" s="29"/>
      <c r="K138" s="29"/>
      <c r="L138" s="29"/>
      <c r="M138" s="29"/>
      <c r="N138" s="29"/>
      <c r="O138" s="29"/>
      <c r="P138" s="29"/>
      <c r="Q138" s="29"/>
    </row>
    <row r="139" spans="1:17" x14ac:dyDescent="0.3">
      <c r="A139" s="61"/>
      <c r="B139" s="61"/>
      <c r="C139" s="62"/>
      <c r="D139" s="63"/>
      <c r="E139" s="29"/>
      <c r="F139" s="29"/>
      <c r="G139" s="29"/>
      <c r="H139" s="29"/>
      <c r="I139" s="29"/>
      <c r="J139" s="29"/>
      <c r="K139" s="29"/>
      <c r="L139" s="29"/>
      <c r="M139" s="29"/>
      <c r="N139" s="29"/>
      <c r="O139" s="29"/>
      <c r="P139" s="29"/>
      <c r="Q139" s="29"/>
    </row>
    <row r="140" spans="1:17" x14ac:dyDescent="0.3">
      <c r="A140" s="61"/>
      <c r="B140" s="61"/>
      <c r="C140" s="62"/>
      <c r="D140" s="63"/>
      <c r="E140" s="29"/>
      <c r="F140" s="29"/>
      <c r="G140" s="29"/>
      <c r="H140" s="29"/>
      <c r="I140" s="29"/>
      <c r="J140" s="29"/>
      <c r="K140" s="29"/>
      <c r="L140" s="29"/>
      <c r="M140" s="29"/>
      <c r="N140" s="29"/>
      <c r="O140" s="29"/>
      <c r="P140" s="29"/>
      <c r="Q140" s="29"/>
    </row>
    <row r="141" spans="1:17" x14ac:dyDescent="0.3">
      <c r="A141" s="61"/>
      <c r="B141" s="61"/>
      <c r="C141" s="62"/>
      <c r="D141" s="63"/>
      <c r="E141" s="29"/>
      <c r="F141" s="29"/>
      <c r="G141" s="29"/>
      <c r="H141" s="29"/>
      <c r="I141" s="29"/>
      <c r="J141" s="29"/>
      <c r="K141" s="29"/>
      <c r="L141" s="29"/>
      <c r="M141" s="29"/>
      <c r="N141" s="29"/>
      <c r="O141" s="29"/>
      <c r="P141" s="29"/>
      <c r="Q141" s="29"/>
    </row>
    <row r="142" spans="1:17" x14ac:dyDescent="0.3">
      <c r="A142" s="61"/>
      <c r="B142" s="61"/>
      <c r="C142" s="62"/>
      <c r="D142" s="63"/>
      <c r="E142" s="29"/>
      <c r="F142" s="29"/>
      <c r="G142" s="29"/>
      <c r="H142" s="29"/>
      <c r="I142" s="29"/>
      <c r="J142" s="29"/>
      <c r="K142" s="29"/>
      <c r="L142" s="29"/>
      <c r="M142" s="29"/>
      <c r="N142" s="29"/>
      <c r="O142" s="29"/>
      <c r="P142" s="29"/>
      <c r="Q142" s="29"/>
    </row>
    <row r="143" spans="1:17" x14ac:dyDescent="0.3">
      <c r="A143" s="61"/>
      <c r="B143" s="61"/>
      <c r="C143" s="62"/>
      <c r="D143" s="63"/>
      <c r="E143" s="29"/>
      <c r="F143" s="29"/>
      <c r="G143" s="29"/>
      <c r="H143" s="29"/>
      <c r="I143" s="29"/>
      <c r="J143" s="29"/>
      <c r="K143" s="29"/>
      <c r="L143" s="29"/>
      <c r="M143" s="29"/>
      <c r="N143" s="29"/>
      <c r="O143" s="29"/>
      <c r="P143" s="29"/>
      <c r="Q143" s="29"/>
    </row>
    <row r="144" spans="1:17" x14ac:dyDescent="0.3">
      <c r="A144" s="61"/>
      <c r="B144" s="61"/>
      <c r="C144" s="62"/>
      <c r="D144" s="63"/>
      <c r="E144" s="29"/>
      <c r="F144" s="29"/>
      <c r="G144" s="29"/>
      <c r="H144" s="29"/>
      <c r="I144" s="29"/>
      <c r="J144" s="29"/>
      <c r="K144" s="29"/>
      <c r="L144" s="29"/>
      <c r="M144" s="29"/>
      <c r="N144" s="29"/>
      <c r="O144" s="29"/>
      <c r="P144" s="29"/>
      <c r="Q144" s="29"/>
    </row>
    <row r="145" spans="1:17" x14ac:dyDescent="0.3">
      <c r="A145" s="61"/>
      <c r="B145" s="61"/>
      <c r="C145" s="62"/>
      <c r="D145" s="63"/>
      <c r="E145" s="29"/>
      <c r="F145" s="29"/>
      <c r="G145" s="29"/>
      <c r="H145" s="29"/>
      <c r="I145" s="29"/>
      <c r="J145" s="29"/>
      <c r="K145" s="29"/>
      <c r="L145" s="29"/>
      <c r="M145" s="29"/>
      <c r="N145" s="29"/>
      <c r="O145" s="29"/>
      <c r="P145" s="29"/>
      <c r="Q145" s="29"/>
    </row>
    <row r="146" spans="1:17" x14ac:dyDescent="0.3">
      <c r="A146" s="61"/>
      <c r="B146" s="61"/>
      <c r="C146" s="62"/>
      <c r="D146" s="63"/>
      <c r="E146" s="29"/>
      <c r="F146" s="29"/>
      <c r="G146" s="29"/>
      <c r="H146" s="29"/>
      <c r="I146" s="29"/>
      <c r="J146" s="29"/>
      <c r="K146" s="29"/>
      <c r="L146" s="29"/>
      <c r="M146" s="29"/>
      <c r="N146" s="29"/>
      <c r="O146" s="29"/>
      <c r="P146" s="29"/>
      <c r="Q146" s="29"/>
    </row>
    <row r="147" spans="1:17" x14ac:dyDescent="0.3">
      <c r="A147" s="61"/>
      <c r="B147" s="61"/>
      <c r="C147" s="62"/>
      <c r="D147" s="63"/>
      <c r="E147" s="29"/>
      <c r="F147" s="29"/>
      <c r="G147" s="29"/>
      <c r="H147" s="29"/>
      <c r="I147" s="29"/>
      <c r="J147" s="29"/>
      <c r="K147" s="29"/>
      <c r="L147" s="29"/>
      <c r="M147" s="29"/>
      <c r="N147" s="29"/>
      <c r="O147" s="29"/>
      <c r="P147" s="29"/>
      <c r="Q147" s="29"/>
    </row>
    <row r="148" spans="1:17" x14ac:dyDescent="0.3">
      <c r="A148" s="61"/>
      <c r="B148" s="61"/>
      <c r="C148" s="62"/>
      <c r="D148" s="63"/>
      <c r="E148" s="29"/>
      <c r="F148" s="29"/>
      <c r="G148" s="29"/>
      <c r="H148" s="29"/>
      <c r="I148" s="29"/>
      <c r="J148" s="29"/>
      <c r="K148" s="29"/>
      <c r="L148" s="29"/>
      <c r="M148" s="29"/>
      <c r="N148" s="29"/>
      <c r="O148" s="29"/>
      <c r="P148" s="29"/>
      <c r="Q148" s="29"/>
    </row>
    <row r="149" spans="1:17" x14ac:dyDescent="0.3">
      <c r="A149" s="61"/>
      <c r="B149" s="61"/>
      <c r="C149" s="62"/>
      <c r="D149" s="63"/>
      <c r="E149" s="29"/>
      <c r="F149" s="29"/>
      <c r="G149" s="29"/>
      <c r="H149" s="29"/>
      <c r="I149" s="29"/>
      <c r="J149" s="29"/>
      <c r="K149" s="29"/>
      <c r="L149" s="29"/>
      <c r="M149" s="29"/>
      <c r="N149" s="29"/>
      <c r="O149" s="29"/>
      <c r="P149" s="29"/>
      <c r="Q149" s="29"/>
    </row>
    <row r="150" spans="1:17" x14ac:dyDescent="0.3">
      <c r="A150" s="61"/>
      <c r="B150" s="61"/>
      <c r="C150" s="62"/>
      <c r="D150" s="63"/>
      <c r="E150" s="29"/>
      <c r="F150" s="29"/>
      <c r="G150" s="29"/>
      <c r="H150" s="29"/>
      <c r="I150" s="29"/>
      <c r="J150" s="29"/>
      <c r="K150" s="29"/>
      <c r="L150" s="29"/>
      <c r="M150" s="29"/>
      <c r="N150" s="29"/>
      <c r="O150" s="29"/>
      <c r="P150" s="29"/>
      <c r="Q150" s="29"/>
    </row>
    <row r="151" spans="1:17" x14ac:dyDescent="0.3">
      <c r="A151" s="61"/>
      <c r="B151" s="61"/>
      <c r="C151" s="62"/>
      <c r="D151" s="63"/>
      <c r="E151" s="29"/>
      <c r="F151" s="29"/>
      <c r="G151" s="29"/>
      <c r="H151" s="29"/>
      <c r="I151" s="29"/>
      <c r="J151" s="29"/>
      <c r="K151" s="29"/>
      <c r="L151" s="29"/>
      <c r="M151" s="29"/>
      <c r="N151" s="29"/>
      <c r="O151" s="29"/>
      <c r="P151" s="29"/>
      <c r="Q151" s="29"/>
    </row>
    <row r="152" spans="1:17" x14ac:dyDescent="0.3">
      <c r="A152" s="61"/>
      <c r="B152" s="61"/>
      <c r="C152" s="62"/>
      <c r="D152" s="63"/>
      <c r="E152" s="29"/>
      <c r="F152" s="29"/>
      <c r="G152" s="29"/>
      <c r="H152" s="29"/>
      <c r="I152" s="29"/>
      <c r="J152" s="29"/>
      <c r="K152" s="29"/>
      <c r="L152" s="29"/>
      <c r="M152" s="29"/>
      <c r="N152" s="29"/>
      <c r="O152" s="29"/>
      <c r="P152" s="29"/>
      <c r="Q152" s="29"/>
    </row>
    <row r="153" spans="1:17" x14ac:dyDescent="0.3">
      <c r="A153" s="61"/>
      <c r="B153" s="61"/>
      <c r="C153" s="62"/>
      <c r="D153" s="63"/>
      <c r="E153" s="29"/>
      <c r="F153" s="29"/>
      <c r="G153" s="29"/>
      <c r="H153" s="29"/>
      <c r="I153" s="29"/>
      <c r="J153" s="29"/>
      <c r="K153" s="29"/>
      <c r="L153" s="29"/>
      <c r="M153" s="29"/>
      <c r="N153" s="29"/>
      <c r="O153" s="29"/>
      <c r="P153" s="29"/>
      <c r="Q153" s="29"/>
    </row>
    <row r="154" spans="1:17" x14ac:dyDescent="0.3">
      <c r="A154" s="61"/>
      <c r="B154" s="61"/>
      <c r="C154" s="62"/>
      <c r="D154" s="63"/>
      <c r="E154" s="29"/>
      <c r="F154" s="29"/>
      <c r="G154" s="29"/>
      <c r="H154" s="29"/>
      <c r="I154" s="29"/>
      <c r="J154" s="29"/>
      <c r="K154" s="29"/>
      <c r="L154" s="29"/>
      <c r="M154" s="29"/>
      <c r="N154" s="29"/>
      <c r="O154" s="29"/>
      <c r="P154" s="29"/>
      <c r="Q154" s="29"/>
    </row>
    <row r="155" spans="1:17" x14ac:dyDescent="0.3">
      <c r="A155" s="61"/>
      <c r="B155" s="61"/>
      <c r="C155" s="62"/>
      <c r="D155" s="63"/>
      <c r="E155" s="29"/>
      <c r="F155" s="29"/>
      <c r="G155" s="29"/>
      <c r="H155" s="29"/>
      <c r="I155" s="29"/>
      <c r="J155" s="29"/>
      <c r="K155" s="29"/>
      <c r="L155" s="29"/>
      <c r="M155" s="29"/>
      <c r="N155" s="29"/>
      <c r="O155" s="29"/>
      <c r="P155" s="29"/>
      <c r="Q155" s="29"/>
    </row>
    <row r="156" spans="1:17" x14ac:dyDescent="0.3">
      <c r="A156" s="61"/>
      <c r="B156" s="61"/>
      <c r="C156" s="62"/>
      <c r="D156" s="63"/>
      <c r="E156" s="29"/>
      <c r="F156" s="29"/>
      <c r="G156" s="29"/>
      <c r="H156" s="29"/>
      <c r="I156" s="29"/>
      <c r="J156" s="29"/>
      <c r="K156" s="29"/>
      <c r="L156" s="29"/>
      <c r="M156" s="29"/>
      <c r="N156" s="29"/>
      <c r="O156" s="29"/>
      <c r="P156" s="29"/>
      <c r="Q156" s="29"/>
    </row>
    <row r="157" spans="1:17" x14ac:dyDescent="0.3">
      <c r="A157" s="61"/>
      <c r="B157" s="61"/>
      <c r="C157" s="62"/>
      <c r="D157" s="63"/>
      <c r="E157" s="29"/>
      <c r="F157" s="29"/>
      <c r="G157" s="29"/>
      <c r="H157" s="29"/>
      <c r="I157" s="29"/>
      <c r="J157" s="29"/>
      <c r="K157" s="29"/>
      <c r="L157" s="29"/>
      <c r="M157" s="29"/>
      <c r="N157" s="29"/>
      <c r="O157" s="29"/>
      <c r="P157" s="29"/>
      <c r="Q157" s="29"/>
    </row>
    <row r="158" spans="1:17" x14ac:dyDescent="0.3">
      <c r="A158" s="61"/>
      <c r="B158" s="61"/>
      <c r="C158" s="62"/>
      <c r="D158" s="63"/>
      <c r="E158" s="29"/>
      <c r="F158" s="29"/>
      <c r="G158" s="29"/>
      <c r="H158" s="29"/>
      <c r="I158" s="29"/>
      <c r="J158" s="29"/>
      <c r="K158" s="29"/>
      <c r="L158" s="29"/>
      <c r="M158" s="29"/>
      <c r="N158" s="29"/>
      <c r="O158" s="29"/>
      <c r="P158" s="29"/>
      <c r="Q158" s="29"/>
    </row>
    <row r="159" spans="1:17" x14ac:dyDescent="0.3">
      <c r="A159" s="61"/>
      <c r="B159" s="61"/>
      <c r="C159" s="62"/>
      <c r="D159" s="63"/>
      <c r="E159" s="29"/>
      <c r="F159" s="29"/>
      <c r="G159" s="29"/>
      <c r="H159" s="29"/>
      <c r="I159" s="29"/>
      <c r="J159" s="29"/>
      <c r="K159" s="29"/>
      <c r="L159" s="29"/>
      <c r="M159" s="29"/>
      <c r="N159" s="29"/>
      <c r="O159" s="29"/>
      <c r="P159" s="29"/>
      <c r="Q159" s="29"/>
    </row>
    <row r="160" spans="1:17" x14ac:dyDescent="0.3">
      <c r="A160" s="61"/>
      <c r="B160" s="61"/>
      <c r="C160" s="62"/>
      <c r="D160" s="63"/>
      <c r="E160" s="29"/>
      <c r="F160" s="29"/>
      <c r="G160" s="29"/>
      <c r="H160" s="29"/>
      <c r="I160" s="29"/>
      <c r="J160" s="29"/>
      <c r="K160" s="29"/>
      <c r="L160" s="29"/>
      <c r="M160" s="29"/>
      <c r="N160" s="29"/>
      <c r="O160" s="29"/>
      <c r="P160" s="29"/>
      <c r="Q160" s="29"/>
    </row>
    <row r="161" spans="1:17" x14ac:dyDescent="0.3">
      <c r="A161" s="61"/>
      <c r="B161" s="61"/>
      <c r="C161" s="62"/>
      <c r="D161" s="63"/>
      <c r="E161" s="29"/>
      <c r="F161" s="29"/>
      <c r="G161" s="29"/>
      <c r="H161" s="29"/>
      <c r="I161" s="29"/>
      <c r="J161" s="29"/>
      <c r="K161" s="29"/>
      <c r="L161" s="29"/>
      <c r="M161" s="29"/>
      <c r="N161" s="29"/>
      <c r="O161" s="29"/>
      <c r="P161" s="29"/>
      <c r="Q161" s="29"/>
    </row>
    <row r="162" spans="1:17" x14ac:dyDescent="0.3">
      <c r="A162" s="61"/>
      <c r="B162" s="61"/>
      <c r="C162" s="62"/>
      <c r="D162" s="63"/>
      <c r="E162" s="29"/>
      <c r="F162" s="29"/>
      <c r="G162" s="29"/>
      <c r="H162" s="29"/>
      <c r="I162" s="29"/>
      <c r="J162" s="29"/>
      <c r="K162" s="29"/>
      <c r="L162" s="29"/>
      <c r="M162" s="29"/>
      <c r="N162" s="29"/>
      <c r="O162" s="29"/>
      <c r="P162" s="29"/>
      <c r="Q162" s="29"/>
    </row>
    <row r="163" spans="1:17" x14ac:dyDescent="0.3">
      <c r="A163" s="61"/>
      <c r="B163" s="61"/>
      <c r="C163" s="62"/>
      <c r="D163" s="63"/>
      <c r="E163" s="29"/>
      <c r="F163" s="29"/>
      <c r="G163" s="29"/>
      <c r="H163" s="29"/>
      <c r="I163" s="29"/>
      <c r="J163" s="29"/>
      <c r="K163" s="29"/>
      <c r="L163" s="29"/>
      <c r="M163" s="29"/>
      <c r="N163" s="29"/>
      <c r="O163" s="29"/>
      <c r="P163" s="29"/>
      <c r="Q163" s="29"/>
    </row>
    <row r="164" spans="1:17" x14ac:dyDescent="0.3">
      <c r="A164" s="61"/>
      <c r="B164" s="61"/>
      <c r="C164" s="62"/>
      <c r="D164" s="63"/>
      <c r="E164" s="29"/>
      <c r="F164" s="29"/>
      <c r="G164" s="29"/>
      <c r="H164" s="29"/>
      <c r="I164" s="29"/>
      <c r="J164" s="29"/>
      <c r="K164" s="29"/>
      <c r="L164" s="29"/>
      <c r="M164" s="29"/>
      <c r="N164" s="29"/>
      <c r="O164" s="29"/>
      <c r="P164" s="29"/>
      <c r="Q164" s="29"/>
    </row>
    <row r="165" spans="1:17" x14ac:dyDescent="0.3">
      <c r="A165" s="61"/>
      <c r="B165" s="61"/>
      <c r="C165" s="62"/>
      <c r="D165" s="63"/>
      <c r="E165" s="29"/>
      <c r="F165" s="29"/>
      <c r="G165" s="29"/>
      <c r="H165" s="29"/>
      <c r="I165" s="29"/>
      <c r="J165" s="29"/>
      <c r="K165" s="29"/>
      <c r="L165" s="29"/>
      <c r="M165" s="29"/>
      <c r="N165" s="29"/>
      <c r="O165" s="29"/>
      <c r="P165" s="29"/>
      <c r="Q165" s="29"/>
    </row>
    <row r="166" spans="1:17" x14ac:dyDescent="0.3">
      <c r="A166" s="61"/>
      <c r="B166" s="61"/>
      <c r="C166" s="62"/>
      <c r="D166" s="63"/>
      <c r="E166" s="29"/>
      <c r="F166" s="29"/>
      <c r="G166" s="29"/>
      <c r="H166" s="29"/>
      <c r="I166" s="29"/>
      <c r="J166" s="29"/>
      <c r="K166" s="29"/>
      <c r="L166" s="29"/>
      <c r="M166" s="29"/>
      <c r="N166" s="29"/>
      <c r="O166" s="29"/>
      <c r="P166" s="29"/>
      <c r="Q166" s="29"/>
    </row>
    <row r="167" spans="1:17" x14ac:dyDescent="0.3">
      <c r="A167" s="61"/>
      <c r="B167" s="61"/>
      <c r="C167" s="62"/>
      <c r="D167" s="63"/>
      <c r="E167" s="29"/>
      <c r="F167" s="29"/>
      <c r="G167" s="29"/>
      <c r="H167" s="29"/>
      <c r="I167" s="29"/>
      <c r="J167" s="29"/>
      <c r="K167" s="29"/>
      <c r="L167" s="29"/>
      <c r="M167" s="29"/>
      <c r="N167" s="29"/>
      <c r="O167" s="29"/>
      <c r="P167" s="29"/>
      <c r="Q167" s="29"/>
    </row>
    <row r="168" spans="1:17" x14ac:dyDescent="0.3">
      <c r="A168" s="61"/>
      <c r="B168" s="61"/>
      <c r="C168" s="62"/>
      <c r="D168" s="63"/>
      <c r="E168" s="29"/>
      <c r="F168" s="29"/>
      <c r="G168" s="29"/>
      <c r="H168" s="29"/>
      <c r="I168" s="29"/>
      <c r="J168" s="29"/>
      <c r="K168" s="29"/>
      <c r="L168" s="29"/>
      <c r="M168" s="29"/>
      <c r="N168" s="29"/>
      <c r="O168" s="29"/>
      <c r="P168" s="29"/>
      <c r="Q168" s="29"/>
    </row>
    <row r="169" spans="1:17" x14ac:dyDescent="0.3">
      <c r="A169" s="61"/>
      <c r="B169" s="61"/>
      <c r="C169" s="62"/>
      <c r="D169" s="63"/>
      <c r="E169" s="29"/>
      <c r="F169" s="29"/>
      <c r="G169" s="29"/>
      <c r="H169" s="29"/>
      <c r="I169" s="29"/>
      <c r="J169" s="29"/>
      <c r="K169" s="29"/>
      <c r="L169" s="29"/>
      <c r="M169" s="29"/>
      <c r="N169" s="29"/>
      <c r="O169" s="29"/>
      <c r="P169" s="29"/>
      <c r="Q169" s="29"/>
    </row>
    <row r="170" spans="1:17" x14ac:dyDescent="0.3">
      <c r="A170" s="61"/>
      <c r="B170" s="61"/>
      <c r="C170" s="62"/>
      <c r="D170" s="63"/>
      <c r="E170" s="29"/>
      <c r="F170" s="29"/>
      <c r="G170" s="29"/>
      <c r="H170" s="29"/>
      <c r="I170" s="29"/>
      <c r="J170" s="29"/>
      <c r="K170" s="29"/>
      <c r="L170" s="29"/>
      <c r="M170" s="29"/>
      <c r="N170" s="29"/>
      <c r="O170" s="29"/>
      <c r="P170" s="29"/>
      <c r="Q170" s="29"/>
    </row>
    <row r="171" spans="1:17" x14ac:dyDescent="0.3">
      <c r="A171" s="61"/>
      <c r="B171" s="61"/>
      <c r="C171" s="62"/>
      <c r="D171" s="63"/>
      <c r="E171" s="29"/>
      <c r="F171" s="29"/>
      <c r="G171" s="29"/>
      <c r="H171" s="29"/>
      <c r="I171" s="29"/>
      <c r="J171" s="29"/>
      <c r="K171" s="29"/>
      <c r="L171" s="29"/>
      <c r="M171" s="29"/>
      <c r="N171" s="29"/>
      <c r="O171" s="29"/>
      <c r="P171" s="29"/>
      <c r="Q171" s="29"/>
    </row>
    <row r="172" spans="1:17" x14ac:dyDescent="0.3">
      <c r="A172" s="76"/>
      <c r="B172" s="76"/>
      <c r="C172" s="74"/>
      <c r="D172" s="75"/>
    </row>
    <row r="173" spans="1:17" x14ac:dyDescent="0.3">
      <c r="A173" s="76"/>
      <c r="B173" s="76"/>
      <c r="C173" s="74"/>
      <c r="D173" s="75"/>
    </row>
    <row r="174" spans="1:17" x14ac:dyDescent="0.3">
      <c r="A174" s="76"/>
      <c r="B174" s="76"/>
      <c r="C174" s="74"/>
      <c r="D174" s="75"/>
    </row>
    <row r="175" spans="1:17" x14ac:dyDescent="0.3">
      <c r="A175" s="76"/>
      <c r="B175" s="76"/>
      <c r="C175" s="74"/>
      <c r="D175" s="75"/>
    </row>
  </sheetData>
  <mergeCells count="17">
    <mergeCell ref="B2:C2"/>
    <mergeCell ref="A1:D1"/>
    <mergeCell ref="B18:B19"/>
    <mergeCell ref="B20:B21"/>
    <mergeCell ref="B24:B37"/>
    <mergeCell ref="B72:B85"/>
    <mergeCell ref="B15:B17"/>
    <mergeCell ref="B11:B14"/>
    <mergeCell ref="B9:B10"/>
    <mergeCell ref="B3:B8"/>
    <mergeCell ref="B38:B41"/>
    <mergeCell ref="B50:B51"/>
    <mergeCell ref="B47:B49"/>
    <mergeCell ref="B45:B46"/>
    <mergeCell ref="B42:B44"/>
    <mergeCell ref="B52:B56"/>
    <mergeCell ref="B57:B7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GÓI FIRST PET 1</vt:lpstr>
      <vt:lpstr>GÓI PET365 2</vt:lpstr>
      <vt:lpstr>GÓI BIG BOSS 3</vt:lpstr>
      <vt:lpstr>GÓI BEST FRINED 4</vt:lpstr>
      <vt:lpstr>GÓI HÀNG NĂM 5</vt:lpstr>
      <vt:lpstr>GÓI BONUS</vt:lpstr>
      <vt:lpstr>Bảng giá thuốc</vt:lpstr>
      <vt:lpstr>Bảng giá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2025-07-30T07:39:32Z</dcterms:modified>
</cp:coreProperties>
</file>